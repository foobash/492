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3715" windowHeight="9270" activeTab="1"/>
  </bookViews>
  <sheets>
    <sheet name="Instructions" sheetId="3" r:id="rId1"/>
    <sheet name="HMM Example" sheetId="2" r:id="rId2"/>
  </sheets>
  <definedNames>
    <definedName name="Copy">'HMM Example'!$J$39:$L$47</definedName>
    <definedName name="Iteration">'HMM Example'!$J$48</definedName>
    <definedName name="Paste">'HMM Example'!$D$39:$F$47</definedName>
  </definedNames>
  <calcPr calcId="145621"/>
</workbook>
</file>

<file path=xl/calcChain.xml><?xml version="1.0" encoding="utf-8"?>
<calcChain xmlns="http://schemas.openxmlformats.org/spreadsheetml/2006/main">
  <c r="D47" i="2" l="1"/>
  <c r="C166" i="2" l="1"/>
  <c r="C138" i="2"/>
  <c r="C79" i="2"/>
  <c r="F37" i="2"/>
  <c r="E37" i="2"/>
  <c r="J37" i="2"/>
  <c r="D50" i="2"/>
  <c r="D37" i="2" l="1"/>
  <c r="D45" i="2"/>
  <c r="D43" i="2"/>
  <c r="B139" i="2"/>
  <c r="C139" i="2" s="1"/>
  <c r="B127" i="2"/>
  <c r="B80" i="2"/>
  <c r="C80" i="2" s="1"/>
  <c r="F39" i="2"/>
  <c r="D79" i="2" s="1"/>
  <c r="L37" i="2" l="1"/>
  <c r="K37" i="2"/>
  <c r="B81" i="2"/>
  <c r="C81" i="2" s="1"/>
  <c r="B126" i="2"/>
  <c r="B140" i="2"/>
  <c r="C140" i="2" s="1"/>
  <c r="B125" i="2" l="1"/>
  <c r="B82" i="2"/>
  <c r="C82" i="2" s="1"/>
  <c r="B141" i="2"/>
  <c r="C141" i="2" s="1"/>
  <c r="B124" i="2"/>
  <c r="B83" i="2" l="1"/>
  <c r="C83" i="2" s="1"/>
  <c r="B123" i="2"/>
  <c r="B122" i="2"/>
  <c r="B142" i="2"/>
  <c r="C142" i="2" s="1"/>
  <c r="B84" i="2"/>
  <c r="B167" i="2"/>
  <c r="C167" i="2" s="1"/>
  <c r="F40" i="2"/>
  <c r="C84" i="2" l="1"/>
  <c r="B121" i="2"/>
  <c r="B143" i="2"/>
  <c r="C143" i="2" s="1"/>
  <c r="B168" i="2"/>
  <c r="C168" i="2" s="1"/>
  <c r="B85" i="2"/>
  <c r="C85" i="2" s="1"/>
  <c r="B120" i="2" l="1"/>
  <c r="B144" i="2"/>
  <c r="C144" i="2" s="1"/>
  <c r="B169" i="2"/>
  <c r="C169" i="2" s="1"/>
  <c r="B86" i="2"/>
  <c r="C86" i="2" s="1"/>
  <c r="B119" i="2"/>
  <c r="E79" i="2"/>
  <c r="B145" i="2" l="1"/>
  <c r="C145" i="2" s="1"/>
  <c r="D80" i="2"/>
  <c r="E80" i="2"/>
  <c r="B170" i="2"/>
  <c r="C170" i="2" s="1"/>
  <c r="B87" i="2"/>
  <c r="C87" i="2" s="1"/>
  <c r="B118" i="2"/>
  <c r="C118" i="2" l="1"/>
  <c r="B146" i="2"/>
  <c r="C146" i="2" s="1"/>
  <c r="E81" i="2"/>
  <c r="D81" i="2"/>
  <c r="B171" i="2"/>
  <c r="C171" i="2" s="1"/>
  <c r="B88" i="2"/>
  <c r="C88" i="2" s="1"/>
  <c r="B117" i="2"/>
  <c r="C117" i="2" s="1"/>
  <c r="C119" i="2" l="1"/>
  <c r="B147" i="2"/>
  <c r="C147" i="2" s="1"/>
  <c r="E82" i="2"/>
  <c r="D82" i="2"/>
  <c r="B172" i="2"/>
  <c r="C172" i="2" s="1"/>
  <c r="B89" i="2"/>
  <c r="C89" i="2" s="1"/>
  <c r="B116" i="2"/>
  <c r="C116" i="2" s="1"/>
  <c r="C120" i="2" l="1"/>
  <c r="B148" i="2"/>
  <c r="C148" i="2" s="1"/>
  <c r="E83" i="2"/>
  <c r="D83" i="2"/>
  <c r="B173" i="2"/>
  <c r="C173" i="2" s="1"/>
  <c r="B90" i="2"/>
  <c r="C90" i="2" s="1"/>
  <c r="B115" i="2"/>
  <c r="C115" i="2" s="1"/>
  <c r="C121" i="2" l="1"/>
  <c r="B149" i="2"/>
  <c r="C149" i="2" s="1"/>
  <c r="E84" i="2"/>
  <c r="D84" i="2"/>
  <c r="B174" i="2"/>
  <c r="C174" i="2" s="1"/>
  <c r="B91" i="2"/>
  <c r="C91" i="2" s="1"/>
  <c r="B114" i="2"/>
  <c r="C114" i="2" s="1"/>
  <c r="C122" i="2" l="1"/>
  <c r="B113" i="2"/>
  <c r="C113" i="2" s="1"/>
  <c r="B150" i="2"/>
  <c r="C150" i="2" s="1"/>
  <c r="E85" i="2"/>
  <c r="D85" i="2"/>
  <c r="B175" i="2"/>
  <c r="C175" i="2" s="1"/>
  <c r="B92" i="2"/>
  <c r="C92" i="2" s="1"/>
  <c r="B112" i="2"/>
  <c r="C112" i="2" s="1"/>
  <c r="C123" i="2" l="1"/>
  <c r="B151" i="2"/>
  <c r="C151" i="2" s="1"/>
  <c r="E86" i="2"/>
  <c r="D86" i="2"/>
  <c r="B176" i="2"/>
  <c r="C176" i="2" s="1"/>
  <c r="B111" i="2"/>
  <c r="C111" i="2" s="1"/>
  <c r="B93" i="2"/>
  <c r="C93" i="2" s="1"/>
  <c r="C124" i="2" l="1"/>
  <c r="B152" i="2"/>
  <c r="C152" i="2" s="1"/>
  <c r="D87" i="2"/>
  <c r="E87" i="2"/>
  <c r="B177" i="2"/>
  <c r="C177" i="2" s="1"/>
  <c r="B94" i="2"/>
  <c r="C94" i="2" s="1"/>
  <c r="B110" i="2"/>
  <c r="C110" i="2" s="1"/>
  <c r="C125" i="2" l="1"/>
  <c r="B153" i="2"/>
  <c r="C153" i="2" s="1"/>
  <c r="E88" i="2"/>
  <c r="D88" i="2"/>
  <c r="B178" i="2"/>
  <c r="C178" i="2" s="1"/>
  <c r="B109" i="2"/>
  <c r="C109" i="2" s="1"/>
  <c r="B95" i="2"/>
  <c r="C95" i="2" s="1"/>
  <c r="C126" i="2" l="1"/>
  <c r="B154" i="2"/>
  <c r="C154" i="2" s="1"/>
  <c r="D89" i="2"/>
  <c r="E89" i="2"/>
  <c r="B179" i="2"/>
  <c r="C179" i="2" s="1"/>
  <c r="B96" i="2"/>
  <c r="C96" i="2" s="1"/>
  <c r="C127" i="2" l="1"/>
  <c r="B155" i="2"/>
  <c r="C155" i="2" s="1"/>
  <c r="E90" i="2"/>
  <c r="D90" i="2"/>
  <c r="B180" i="2"/>
  <c r="C180" i="2" s="1"/>
  <c r="B97" i="2"/>
  <c r="C97" i="2" s="1"/>
  <c r="C128" i="2" l="1"/>
  <c r="B156" i="2"/>
  <c r="C156" i="2" s="1"/>
  <c r="E91" i="2"/>
  <c r="D91" i="2"/>
  <c r="B181" i="2"/>
  <c r="C181" i="2" s="1"/>
  <c r="B98" i="2"/>
  <c r="C129" i="2" l="1"/>
  <c r="B99" i="2"/>
  <c r="C98" i="2"/>
  <c r="B157" i="2"/>
  <c r="E92" i="2"/>
  <c r="D92" i="2"/>
  <c r="B182" i="2"/>
  <c r="C182" i="2" s="1"/>
  <c r="C130" i="2" l="1"/>
  <c r="C157" i="2"/>
  <c r="B158" i="2"/>
  <c r="B100" i="2"/>
  <c r="C99" i="2"/>
  <c r="E93" i="2"/>
  <c r="D93" i="2"/>
  <c r="B183" i="2"/>
  <c r="C183" i="2" s="1"/>
  <c r="C132" i="2" l="1"/>
  <c r="D131" i="2" s="1"/>
  <c r="C131" i="2"/>
  <c r="C158" i="2"/>
  <c r="B159" i="2"/>
  <c r="B101" i="2"/>
  <c r="C100" i="2"/>
  <c r="E94" i="2"/>
  <c r="D94" i="2"/>
  <c r="B184" i="2"/>
  <c r="C184" i="2" s="1"/>
  <c r="E131" i="2" l="1"/>
  <c r="C159" i="2"/>
  <c r="B160" i="2"/>
  <c r="C101" i="2"/>
  <c r="B102" i="2"/>
  <c r="C102" i="2" s="1"/>
  <c r="E95" i="2"/>
  <c r="D95" i="2"/>
  <c r="B185" i="2"/>
  <c r="D130" i="2" l="1"/>
  <c r="E130" i="2"/>
  <c r="B186" i="2"/>
  <c r="C185" i="2"/>
  <c r="C160" i="2"/>
  <c r="B161" i="2"/>
  <c r="C161" i="2" s="1"/>
  <c r="D96" i="2"/>
  <c r="E96" i="2"/>
  <c r="D129" i="2" l="1"/>
  <c r="E129" i="2"/>
  <c r="C186" i="2"/>
  <c r="B187" i="2"/>
  <c r="E97" i="2"/>
  <c r="D97" i="2"/>
  <c r="D128" i="2" l="1"/>
  <c r="E128" i="2"/>
  <c r="C187" i="2"/>
  <c r="B188" i="2"/>
  <c r="E98" i="2"/>
  <c r="D98" i="2"/>
  <c r="D127" i="2" l="1"/>
  <c r="E127" i="2"/>
  <c r="C188" i="2"/>
  <c r="B189" i="2"/>
  <c r="C189" i="2" s="1"/>
  <c r="D99" i="2"/>
  <c r="E99" i="2"/>
  <c r="E126" i="2" l="1"/>
  <c r="D126" i="2"/>
  <c r="D100" i="2"/>
  <c r="E100" i="2"/>
  <c r="D125" i="2" l="1"/>
  <c r="E125" i="2"/>
  <c r="D101" i="2"/>
  <c r="E101" i="2"/>
  <c r="E124" i="2" l="1"/>
  <c r="D124" i="2"/>
  <c r="E102" i="2"/>
  <c r="D102" i="2"/>
  <c r="D123" i="2" l="1"/>
  <c r="E123" i="2"/>
  <c r="D104" i="2"/>
  <c r="D160" i="2" s="1"/>
  <c r="E158" i="2"/>
  <c r="F159" i="2"/>
  <c r="F160" i="2"/>
  <c r="E156" i="2"/>
  <c r="G153" i="2" l="1"/>
  <c r="G151" i="2"/>
  <c r="D157" i="2"/>
  <c r="G155" i="2"/>
  <c r="F151" i="2"/>
  <c r="E179" i="2" s="1"/>
  <c r="G152" i="2"/>
  <c r="D151" i="2"/>
  <c r="G157" i="2"/>
  <c r="E152" i="2"/>
  <c r="E157" i="2"/>
  <c r="D156" i="2"/>
  <c r="D184" i="2" s="1"/>
  <c r="D152" i="2"/>
  <c r="D180" i="2" s="1"/>
  <c r="G156" i="2"/>
  <c r="G160" i="2"/>
  <c r="E188" i="2" s="1"/>
  <c r="E155" i="2"/>
  <c r="G159" i="2"/>
  <c r="E187" i="2" s="1"/>
  <c r="E159" i="2"/>
  <c r="F155" i="2"/>
  <c r="F154" i="2"/>
  <c r="E153" i="2"/>
  <c r="D159" i="2"/>
  <c r="F157" i="2"/>
  <c r="D153" i="2"/>
  <c r="E154" i="2"/>
  <c r="D158" i="2"/>
  <c r="D186" i="2" s="1"/>
  <c r="D155" i="2"/>
  <c r="D154" i="2"/>
  <c r="E151" i="2"/>
  <c r="F156" i="2"/>
  <c r="G158" i="2"/>
  <c r="G154" i="2"/>
  <c r="F152" i="2"/>
  <c r="F153" i="2"/>
  <c r="E181" i="2" s="1"/>
  <c r="E160" i="2"/>
  <c r="D188" i="2" s="1"/>
  <c r="F158" i="2"/>
  <c r="E122" i="2"/>
  <c r="D122" i="2"/>
  <c r="D189" i="2"/>
  <c r="E189" i="2"/>
  <c r="D182" i="2" l="1"/>
  <c r="E183" i="2"/>
  <c r="D185" i="2"/>
  <c r="E180" i="2"/>
  <c r="D65" i="2" s="1"/>
  <c r="D179" i="2"/>
  <c r="D64" i="2" s="1"/>
  <c r="E185" i="2"/>
  <c r="D70" i="2" s="1"/>
  <c r="E184" i="2"/>
  <c r="D69" i="2" s="1"/>
  <c r="D183" i="2"/>
  <c r="D74" i="2"/>
  <c r="D187" i="2"/>
  <c r="D72" i="2" s="1"/>
  <c r="E186" i="2"/>
  <c r="D71" i="2" s="1"/>
  <c r="D181" i="2"/>
  <c r="D66" i="2" s="1"/>
  <c r="D73" i="2"/>
  <c r="E182" i="2"/>
  <c r="D67" i="2" s="1"/>
  <c r="D121" i="2"/>
  <c r="E121" i="2"/>
  <c r="D150" i="2"/>
  <c r="F150" i="2"/>
  <c r="G150" i="2"/>
  <c r="E150" i="2"/>
  <c r="D68" i="2" l="1"/>
  <c r="D178" i="2"/>
  <c r="E178" i="2"/>
  <c r="G149" i="2"/>
  <c r="E149" i="2"/>
  <c r="E120" i="2"/>
  <c r="D120" i="2"/>
  <c r="D149" i="2"/>
  <c r="F149" i="2"/>
  <c r="E177" i="2" l="1"/>
  <c r="D177" i="2"/>
  <c r="D62" i="2" s="1"/>
  <c r="D63" i="2"/>
  <c r="D119" i="2"/>
  <c r="E119" i="2"/>
  <c r="F148" i="2"/>
  <c r="D148" i="2"/>
  <c r="E148" i="2"/>
  <c r="G148" i="2"/>
  <c r="E176" i="2" l="1"/>
  <c r="D176" i="2"/>
  <c r="G147" i="2"/>
  <c r="E147" i="2"/>
  <c r="E118" i="2"/>
  <c r="D118" i="2"/>
  <c r="D147" i="2"/>
  <c r="F147" i="2"/>
  <c r="D61" i="2" l="1"/>
  <c r="E175" i="2"/>
  <c r="D175" i="2"/>
  <c r="E146" i="2"/>
  <c r="G146" i="2"/>
  <c r="D117" i="2"/>
  <c r="E117" i="2"/>
  <c r="F146" i="2"/>
  <c r="D146" i="2"/>
  <c r="D174" i="2" l="1"/>
  <c r="D60" i="2"/>
  <c r="E174" i="2"/>
  <c r="E116" i="2"/>
  <c r="D116" i="2"/>
  <c r="D145" i="2"/>
  <c r="F145" i="2"/>
  <c r="G145" i="2"/>
  <c r="E145" i="2"/>
  <c r="D59" i="2" l="1"/>
  <c r="D173" i="2"/>
  <c r="E173" i="2"/>
  <c r="D115" i="2"/>
  <c r="E115" i="2"/>
  <c r="F144" i="2"/>
  <c r="D144" i="2"/>
  <c r="G144" i="2"/>
  <c r="E144" i="2"/>
  <c r="D58" i="2" l="1"/>
  <c r="E172" i="2"/>
  <c r="D172" i="2"/>
  <c r="E143" i="2"/>
  <c r="G143" i="2"/>
  <c r="E114" i="2"/>
  <c r="D114" i="2"/>
  <c r="F143" i="2"/>
  <c r="D143" i="2"/>
  <c r="D57" i="2" l="1"/>
  <c r="E171" i="2"/>
  <c r="D171" i="2"/>
  <c r="D113" i="2"/>
  <c r="E113" i="2"/>
  <c r="F142" i="2"/>
  <c r="D142" i="2"/>
  <c r="G142" i="2"/>
  <c r="E142" i="2"/>
  <c r="D56" i="2" l="1"/>
  <c r="E170" i="2"/>
  <c r="D170" i="2"/>
  <c r="G141" i="2"/>
  <c r="E141" i="2"/>
  <c r="D112" i="2"/>
  <c r="E112" i="2"/>
  <c r="D141" i="2"/>
  <c r="D169" i="2" s="1"/>
  <c r="F141" i="2"/>
  <c r="E169" i="2" l="1"/>
  <c r="D55" i="2"/>
  <c r="D54" i="2"/>
  <c r="G140" i="2"/>
  <c r="E140" i="2"/>
  <c r="E111" i="2"/>
  <c r="D111" i="2"/>
  <c r="D140" i="2"/>
  <c r="F140" i="2"/>
  <c r="D168" i="2" l="1"/>
  <c r="E168" i="2"/>
  <c r="E110" i="2"/>
  <c r="D110" i="2"/>
  <c r="D139" i="2"/>
  <c r="F139" i="2"/>
  <c r="E139" i="2"/>
  <c r="G139" i="2"/>
  <c r="D53" i="2" l="1"/>
  <c r="D167" i="2"/>
  <c r="E167" i="2"/>
  <c r="D109" i="2"/>
  <c r="E109" i="2"/>
  <c r="F138" i="2"/>
  <c r="D138" i="2"/>
  <c r="E138" i="2"/>
  <c r="G138" i="2"/>
  <c r="D52" i="2" l="1"/>
  <c r="J46" i="2"/>
  <c r="D166" i="2"/>
  <c r="J44" i="2"/>
  <c r="E166" i="2"/>
  <c r="D51" i="2" l="1"/>
  <c r="J47" i="2"/>
  <c r="L40" i="2"/>
  <c r="J40" i="2"/>
  <c r="K40" i="2"/>
  <c r="J45" i="2"/>
  <c r="L39" i="2"/>
  <c r="J42" i="2"/>
  <c r="K39" i="2"/>
  <c r="J39" i="2"/>
  <c r="J43" i="2" l="1"/>
</calcChain>
</file>

<file path=xl/sharedStrings.xml><?xml version="1.0" encoding="utf-8"?>
<sst xmlns="http://schemas.openxmlformats.org/spreadsheetml/2006/main" count="53" uniqueCount="33">
  <si>
    <t>Value</t>
  </si>
  <si>
    <t>Hidden Markov Model Example</t>
  </si>
  <si>
    <t>Initial Two State Estimates</t>
  </si>
  <si>
    <t>Initial Pr(State 1)</t>
  </si>
  <si>
    <t>Initial Pr(State 2)</t>
  </si>
  <si>
    <t>Pr(State 1 -&gt; State 1)</t>
  </si>
  <si>
    <t>Pr(State 1 -&gt; State 2)</t>
  </si>
  <si>
    <t>Pr(State 2 -&gt; State 1)</t>
  </si>
  <si>
    <t>Pr(State 2 -&gt; State 2)</t>
  </si>
  <si>
    <t>State 1</t>
  </si>
  <si>
    <t>State 2</t>
  </si>
  <si>
    <t>Total Probability</t>
  </si>
  <si>
    <t>Transition</t>
  </si>
  <si>
    <t>1 to 1</t>
  </si>
  <si>
    <t>1 to 2</t>
  </si>
  <si>
    <t>2 to 1</t>
  </si>
  <si>
    <t>2 to 2</t>
  </si>
  <si>
    <t>New Parameters</t>
  </si>
  <si>
    <t>Number of Iterations</t>
  </si>
  <si>
    <t>Alpha - Forward Probabilities</t>
  </si>
  <si>
    <t>Beta - Backward Probabilities</t>
  </si>
  <si>
    <t>Gamma - Estimate of State Transitions</t>
  </si>
  <si>
    <t>Month</t>
  </si>
  <si>
    <t>Delta - Estimate of Probability of Each State at Each Observation</t>
  </si>
  <si>
    <t>Hidden Markov Model Example Instructions</t>
  </si>
  <si>
    <t>This workbook provides a (relatively) simple example of an algorithm to fit a Hidden Markov Model to a set of observations.</t>
  </si>
  <si>
    <t>A macro is included which will iterate the algorithm one step at a time.</t>
  </si>
  <si>
    <t>The grey shaded cells can be altered to change either the initial parameter estimates or the observation values.</t>
  </si>
  <si>
    <t xml:space="preserve">For the observation values a 0, 1, or 2 is a valid entry.  </t>
  </si>
  <si>
    <t>Each of the probability distributions should sum to 1.</t>
  </si>
  <si>
    <t>Altering any of the other cells may impact the workbook's functionality.</t>
  </si>
  <si>
    <t>Distribution of State 1</t>
  </si>
  <si>
    <t>Distribution of State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</si>
</sst>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.000"/>
    <numFmt numFmtId="166" formatCode="_(* #,##0.000000_);_(* \(#,##0.000000\);_(* &quot;-&quot;??_);_(@_)"/>
  </numFmts>
  <fonts count="5" x14ac:knownFonts="1">
    <font>
      <sz val="11"/>
      <color theme="1"/>
      <name val="Century Schoolbook"/>
      <family val="2"/>
    </font>
    <font>
      <b/>
      <sz val="11"/>
      <color theme="1"/>
      <name val="Century Schoolbook"/>
      <family val="1"/>
    </font>
    <font>
      <i/>
      <sz val="11"/>
      <color theme="1"/>
      <name val="Century Schoolbook"/>
      <family val="1"/>
    </font>
    <font>
      <sz val="11"/>
      <color rgb="FF000000"/>
      <name val="Century Schoolbook"/>
      <family val="1"/>
    </font>
    <font>
      <sz val="11"/>
      <color theme="1"/>
      <name val="Century Schoolbook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1" fillId="0" borderId="0" xfId="0" applyFont="1"/>
    <xf numFmtId="0" fontId="2" fillId="0" borderId="0" xfId="0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/>
    <xf numFmtId="0" fontId="2" fillId="0" borderId="1" xfId="0" applyFont="1" applyBorder="1"/>
    <xf numFmtId="165" fontId="0" fillId="0" borderId="0" xfId="0" applyNumberFormat="1" applyFill="1"/>
    <xf numFmtId="0" fontId="0" fillId="0" borderId="0" xfId="0" applyFill="1"/>
    <xf numFmtId="166" fontId="0" fillId="0" borderId="0" xfId="1" applyNumberFormat="1" applyFont="1"/>
    <xf numFmtId="0" fontId="0" fillId="0" borderId="1" xfId="0" applyBorder="1" applyAlignment="1">
      <alignment horizontal="right"/>
    </xf>
    <xf numFmtId="0" fontId="0" fillId="0" borderId="0" xfId="0" applyAlignment="1">
      <alignment horizontal="center"/>
    </xf>
    <xf numFmtId="165" fontId="0" fillId="2" borderId="0" xfId="0" applyNumberFormat="1" applyFill="1"/>
    <xf numFmtId="0" fontId="0" fillId="2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Observations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'HMM Example'!$B$51:$B$74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'HMM Example'!$C$51:$C$74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58784"/>
        <c:axId val="195433984"/>
      </c:lineChart>
      <c:catAx>
        <c:axId val="19555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5433984"/>
        <c:crosses val="autoZero"/>
        <c:auto val="1"/>
        <c:lblAlgn val="ctr"/>
        <c:lblOffset val="100"/>
        <c:noMultiLvlLbl val="0"/>
      </c:catAx>
      <c:valAx>
        <c:axId val="195433984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Claims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5558784"/>
        <c:crosses val="autoZero"/>
        <c:crossBetween val="midCat"/>
        <c:majorUnit val="1"/>
        <c:min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Hidden State Estimate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'HMM Example'!$D$50</c:f>
              <c:strCache>
                <c:ptCount val="1"/>
                <c:pt idx="0">
                  <c:v>Estimated State (Step 1)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</c:marker>
          <c:cat>
            <c:numRef>
              <c:f>'HMM Example'!$B$51:$B$74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'HMM Example'!$D$51:$D$74</c:f>
              <c:numCache>
                <c:formatCode>_(* #,##0.000000_);_(* \(#,##0.000000\);_(* "-"??_);_(@_)</c:formatCode>
                <c:ptCount val="24"/>
                <c:pt idx="0">
                  <c:v>1.7215837689614897</c:v>
                </c:pt>
                <c:pt idx="1">
                  <c:v>1.2624528751458337</c:v>
                </c:pt>
                <c:pt idx="2">
                  <c:v>1.2026064543172525</c:v>
                </c:pt>
                <c:pt idx="3">
                  <c:v>1.241316241812128</c:v>
                </c:pt>
                <c:pt idx="4">
                  <c:v>1.5730989197922083</c:v>
                </c:pt>
                <c:pt idx="5">
                  <c:v>1.2393611676737397</c:v>
                </c:pt>
                <c:pt idx="6">
                  <c:v>1.1908715661366078</c:v>
                </c:pt>
                <c:pt idx="7">
                  <c:v>1.1839698674567243</c:v>
                </c:pt>
                <c:pt idx="8">
                  <c:v>1.1839750357676748</c:v>
                </c:pt>
                <c:pt idx="9">
                  <c:v>1.1909130418319873</c:v>
                </c:pt>
                <c:pt idx="10">
                  <c:v>1.2396473661228318</c:v>
                </c:pt>
                <c:pt idx="11">
                  <c:v>1.5750679882017027</c:v>
                </c:pt>
                <c:pt idx="12">
                  <c:v>1.2513930816377674</c:v>
                </c:pt>
                <c:pt idx="13">
                  <c:v>1.2614140297295884</c:v>
                </c:pt>
                <c:pt idx="14">
                  <c:v>1.6554860966385658</c:v>
                </c:pt>
                <c:pt idx="15">
                  <c:v>1.6540302712997803</c:v>
                </c:pt>
                <c:pt idx="16">
                  <c:v>1.2511261973355035</c:v>
                </c:pt>
                <c:pt idx="17">
                  <c:v>1.1925874434530881</c:v>
                </c:pt>
                <c:pt idx="18">
                  <c:v>1.1842567713933956</c:v>
                </c:pt>
                <c:pt idx="19">
                  <c:v>1.1842725540564707</c:v>
                </c:pt>
                <c:pt idx="20">
                  <c:v>1.1927140993242662</c:v>
                </c:pt>
                <c:pt idx="21">
                  <c:v>1.2520001721674556</c:v>
                </c:pt>
                <c:pt idx="22">
                  <c:v>1.6600432886230638</c:v>
                </c:pt>
                <c:pt idx="23">
                  <c:v>1.6862581166168247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63040"/>
        <c:axId val="195473408"/>
      </c:lineChart>
      <c:catAx>
        <c:axId val="195463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5473408"/>
        <c:crosses val="autoZero"/>
        <c:auto val="1"/>
        <c:lblAlgn val="ctr"/>
        <c:lblOffset val="100"/>
        <c:noMultiLvlLbl val="0"/>
      </c:catAx>
      <c:valAx>
        <c:axId val="195473408"/>
        <c:scaling>
          <c:orientation val="minMax"/>
          <c:max val="2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Hidden State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95463040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0</xdr:rowOff>
    </xdr:from>
    <xdr:to>
      <xdr:col>13</xdr:col>
      <xdr:colOff>0</xdr:colOff>
      <xdr:row>17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50</xdr:row>
          <xdr:rowOff>0</xdr:rowOff>
        </xdr:from>
        <xdr:to>
          <xdr:col>9</xdr:col>
          <xdr:colOff>381000</xdr:colOff>
          <xdr:row>54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Schoolbook"/>
                </a:rPr>
                <a:t>Iterate HMM 1 Step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9524</xdr:colOff>
      <xdr:row>18</xdr:row>
      <xdr:rowOff>0</xdr:rowOff>
    </xdr:from>
    <xdr:to>
      <xdr:col>13</xdr:col>
      <xdr:colOff>0</xdr:colOff>
      <xdr:row>33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J16" sqref="J16"/>
    </sheetView>
  </sheetViews>
  <sheetFormatPr defaultRowHeight="14.25" x14ac:dyDescent="0.2"/>
  <cols>
    <col min="1" max="1" width="4" customWidth="1"/>
  </cols>
  <sheetData>
    <row r="1" spans="1:2" ht="15" x14ac:dyDescent="0.25">
      <c r="A1" s="2" t="s">
        <v>24</v>
      </c>
    </row>
    <row r="3" spans="1:2" x14ac:dyDescent="0.2">
      <c r="B3" t="s">
        <v>25</v>
      </c>
    </row>
    <row r="4" spans="1:2" x14ac:dyDescent="0.2">
      <c r="B4" t="s">
        <v>26</v>
      </c>
    </row>
    <row r="5" spans="1:2" x14ac:dyDescent="0.2">
      <c r="B5" t="s">
        <v>27</v>
      </c>
    </row>
    <row r="6" spans="1:2" x14ac:dyDescent="0.2">
      <c r="B6" t="s">
        <v>28</v>
      </c>
    </row>
    <row r="7" spans="1:2" x14ac:dyDescent="0.2">
      <c r="B7" t="s">
        <v>29</v>
      </c>
    </row>
    <row r="8" spans="1:2" x14ac:dyDescent="0.2">
      <c r="B8" t="s">
        <v>30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90"/>
  <sheetViews>
    <sheetView tabSelected="1" zoomScale="85" zoomScaleNormal="85" workbookViewId="0">
      <selection activeCell="E55" sqref="E55"/>
    </sheetView>
  </sheetViews>
  <sheetFormatPr defaultRowHeight="14.25" outlineLevelRow="1" x14ac:dyDescent="0.2"/>
  <cols>
    <col min="1" max="1" width="2.875" customWidth="1"/>
    <col min="2" max="2" width="22.125" customWidth="1"/>
    <col min="4" max="5" width="12.625" customWidth="1"/>
    <col min="8" max="8" width="19.625" bestFit="1" customWidth="1"/>
    <col min="10" max="10" width="9.25" bestFit="1" customWidth="1"/>
  </cols>
  <sheetData>
    <row r="1" spans="1:1" ht="15" x14ac:dyDescent="0.25">
      <c r="A1" s="2" t="s">
        <v>1</v>
      </c>
    </row>
    <row r="37" spans="2:12" x14ac:dyDescent="0.2">
      <c r="B37" s="7" t="s">
        <v>2</v>
      </c>
      <c r="C37" s="1"/>
      <c r="D37" s="11" t="str">
        <f>"Pr("&amp;D38&amp;")"</f>
        <v>Pr(0)</v>
      </c>
      <c r="E37" s="11" t="str">
        <f t="shared" ref="E37:F37" si="0">"Pr("&amp;E38&amp;")"</f>
        <v>Pr(1)</v>
      </c>
      <c r="F37" s="11" t="str">
        <f t="shared" si="0"/>
        <v>Pr(2)</v>
      </c>
      <c r="H37" s="7" t="s">
        <v>17</v>
      </c>
      <c r="I37" s="1"/>
      <c r="J37" s="11" t="str">
        <f t="shared" ref="J37:L37" si="1">"Pr("&amp;J38&amp;")"</f>
        <v>Pr(0)</v>
      </c>
      <c r="K37" s="11" t="str">
        <f t="shared" si="1"/>
        <v>Pr(1)</v>
      </c>
      <c r="L37" s="11" t="str">
        <f t="shared" si="1"/>
        <v>Pr(2)</v>
      </c>
    </row>
    <row r="38" spans="2:12" hidden="1" outlineLevel="1" x14ac:dyDescent="0.2">
      <c r="D38">
        <v>0</v>
      </c>
      <c r="E38">
        <v>1</v>
      </c>
      <c r="F38">
        <v>2</v>
      </c>
      <c r="J38">
        <v>0</v>
      </c>
      <c r="K38">
        <v>1</v>
      </c>
      <c r="L38">
        <v>2</v>
      </c>
    </row>
    <row r="39" spans="2:12" collapsed="1" x14ac:dyDescent="0.2">
      <c r="B39" t="s">
        <v>31</v>
      </c>
      <c r="D39" s="13">
        <v>0.4</v>
      </c>
      <c r="E39" s="13">
        <v>0.4</v>
      </c>
      <c r="F39" s="8">
        <f>1-SUM(D39:E39)</f>
        <v>0.19999999999999996</v>
      </c>
      <c r="H39" t="s">
        <v>31</v>
      </c>
      <c r="J39" s="8">
        <f>SUMIF($C$166:$C$189,J38,$D$166:$D$189)/SUM($D$166:$D$189)</f>
        <v>0.2448547582645734</v>
      </c>
      <c r="K39" s="8">
        <f>SUMIF($C$166:$C$189,K38,$D$166:$D$189)/SUM($D$166:$D$189)</f>
        <v>0.5982332824585409</v>
      </c>
      <c r="L39" s="8">
        <f>SUMIF($C$166:$C$189,L38,$D$166:$D$189)/SUM($D$166:$D$189)</f>
        <v>0.15691195927688553</v>
      </c>
    </row>
    <row r="40" spans="2:12" x14ac:dyDescent="0.2">
      <c r="B40" t="s">
        <v>32</v>
      </c>
      <c r="D40" s="13">
        <v>0.2</v>
      </c>
      <c r="E40" s="13">
        <v>0.2</v>
      </c>
      <c r="F40" s="8">
        <f>1-SUM(D40:E40)</f>
        <v>0.6</v>
      </c>
      <c r="H40" t="s">
        <v>32</v>
      </c>
      <c r="J40" s="8">
        <f>SUMIF($C$166:$C$189,J38,$E$166:$E$189)/SUM($E$166:$E$189)</f>
        <v>0.13835820217261011</v>
      </c>
      <c r="K40" s="8">
        <f>SUMIF($C$166:$C$189,K38,$E$166:$E$189)/SUM($E$166:$E$189)</f>
        <v>0.31178481296043548</v>
      </c>
      <c r="L40" s="8">
        <f>SUMIF($C$166:$C$189,L38,$E$166:$E$189)/SUM($E$166:$E$189)</f>
        <v>0.549856984866954</v>
      </c>
    </row>
    <row r="41" spans="2:12" ht="3" customHeight="1" x14ac:dyDescent="0.2">
      <c r="D41" s="9"/>
      <c r="E41" s="9"/>
      <c r="F41" s="9"/>
      <c r="J41" s="9"/>
      <c r="K41" s="9"/>
      <c r="L41" s="9"/>
    </row>
    <row r="42" spans="2:12" x14ac:dyDescent="0.2">
      <c r="B42" t="s">
        <v>3</v>
      </c>
      <c r="D42" s="13">
        <v>0.5</v>
      </c>
      <c r="E42" s="9"/>
      <c r="F42" s="9"/>
      <c r="H42" t="s">
        <v>3</v>
      </c>
      <c r="J42" s="8">
        <f>D166/(D166+E166)</f>
        <v>0.27841623103850999</v>
      </c>
      <c r="K42" s="9"/>
      <c r="L42" s="9"/>
    </row>
    <row r="43" spans="2:12" x14ac:dyDescent="0.2">
      <c r="B43" t="s">
        <v>4</v>
      </c>
      <c r="D43" s="8">
        <f>1-D42</f>
        <v>0.5</v>
      </c>
      <c r="E43" s="9"/>
      <c r="F43" s="9"/>
      <c r="H43" t="s">
        <v>4</v>
      </c>
      <c r="J43" s="8">
        <f>1-J42</f>
        <v>0.72158376896149001</v>
      </c>
      <c r="K43" s="9"/>
      <c r="L43" s="9"/>
    </row>
    <row r="44" spans="2:12" x14ac:dyDescent="0.2">
      <c r="B44" t="s">
        <v>5</v>
      </c>
      <c r="D44" s="13">
        <v>0.7</v>
      </c>
      <c r="E44" s="9"/>
      <c r="F44" s="9"/>
      <c r="H44" t="s">
        <v>5</v>
      </c>
      <c r="J44" s="8">
        <f>SUM(D138:D160)/SUM(D138:E160)</f>
        <v>0.73324639204799957</v>
      </c>
      <c r="K44" s="9"/>
      <c r="L44" s="9"/>
    </row>
    <row r="45" spans="2:12" x14ac:dyDescent="0.2">
      <c r="B45" t="s">
        <v>6</v>
      </c>
      <c r="D45" s="8">
        <f>1-D44</f>
        <v>0.30000000000000004</v>
      </c>
      <c r="E45" s="9"/>
      <c r="F45" s="9"/>
      <c r="H45" t="s">
        <v>6</v>
      </c>
      <c r="J45" s="8">
        <f>1-J44</f>
        <v>0.26675360795200043</v>
      </c>
      <c r="K45" s="9"/>
      <c r="L45" s="9"/>
    </row>
    <row r="46" spans="2:12" x14ac:dyDescent="0.2">
      <c r="B46" t="s">
        <v>7</v>
      </c>
      <c r="D46" s="13">
        <v>0.5</v>
      </c>
      <c r="E46" s="9"/>
      <c r="F46" s="9"/>
      <c r="H46" t="s">
        <v>7</v>
      </c>
      <c r="J46" s="8">
        <f>SUM(F138:F160)/SUM(F138:G160)</f>
        <v>0.55118178692109332</v>
      </c>
      <c r="K46" s="9"/>
      <c r="L46" s="9"/>
    </row>
    <row r="47" spans="2:12" x14ac:dyDescent="0.2">
      <c r="B47" t="s">
        <v>8</v>
      </c>
      <c r="D47" s="8">
        <f>1-D46</f>
        <v>0.5</v>
      </c>
      <c r="E47" s="9"/>
      <c r="F47" s="9"/>
      <c r="H47" t="s">
        <v>8</v>
      </c>
      <c r="J47" s="8">
        <f>1-J46</f>
        <v>0.44881821307890668</v>
      </c>
      <c r="K47" s="9"/>
      <c r="L47" s="9"/>
    </row>
    <row r="48" spans="2:12" x14ac:dyDescent="0.2">
      <c r="H48" t="s">
        <v>18</v>
      </c>
      <c r="J48" s="9">
        <v>1</v>
      </c>
      <c r="L48" s="9"/>
    </row>
    <row r="50" spans="2:4" x14ac:dyDescent="0.2">
      <c r="B50" s="1" t="s">
        <v>22</v>
      </c>
      <c r="C50" s="1" t="s">
        <v>0</v>
      </c>
      <c r="D50" s="1" t="str">
        <f>"Estimated State (Step "&amp;Iteration&amp;")"</f>
        <v>Estimated State (Step 1)</v>
      </c>
    </row>
    <row r="51" spans="2:4" x14ac:dyDescent="0.2">
      <c r="B51">
        <v>1</v>
      </c>
      <c r="C51" s="14">
        <v>2</v>
      </c>
      <c r="D51" s="10">
        <f t="shared" ref="D51:D74" si="2">VLOOKUP(B51,$B$166:$E$189,3,FALSE)+VLOOKUP(B51,$B$166:$E$189,4,FALSE)*2</f>
        <v>1.7215837689614897</v>
      </c>
    </row>
    <row r="52" spans="2:4" x14ac:dyDescent="0.2">
      <c r="B52">
        <v>2</v>
      </c>
      <c r="C52" s="14">
        <v>1</v>
      </c>
      <c r="D52" s="10">
        <f t="shared" si="2"/>
        <v>1.2624528751458337</v>
      </c>
    </row>
    <row r="53" spans="2:4" x14ac:dyDescent="0.2">
      <c r="B53">
        <v>3</v>
      </c>
      <c r="C53" s="14">
        <v>0</v>
      </c>
      <c r="D53" s="10">
        <f t="shared" si="2"/>
        <v>1.2026064543172525</v>
      </c>
    </row>
    <row r="54" spans="2:4" x14ac:dyDescent="0.2">
      <c r="B54">
        <v>4</v>
      </c>
      <c r="C54" s="14">
        <v>1</v>
      </c>
      <c r="D54" s="10">
        <f t="shared" si="2"/>
        <v>1.241316241812128</v>
      </c>
    </row>
    <row r="55" spans="2:4" x14ac:dyDescent="0.2">
      <c r="B55">
        <v>5</v>
      </c>
      <c r="C55" s="14">
        <v>2</v>
      </c>
      <c r="D55" s="10">
        <f t="shared" si="2"/>
        <v>1.5730989197922083</v>
      </c>
    </row>
    <row r="56" spans="2:4" x14ac:dyDescent="0.2">
      <c r="B56">
        <v>6</v>
      </c>
      <c r="C56" s="14">
        <v>0</v>
      </c>
      <c r="D56" s="10">
        <f t="shared" si="2"/>
        <v>1.2393611676737397</v>
      </c>
    </row>
    <row r="57" spans="2:4" x14ac:dyDescent="0.2">
      <c r="B57">
        <v>7</v>
      </c>
      <c r="C57" s="14">
        <v>1</v>
      </c>
      <c r="D57" s="10">
        <f t="shared" si="2"/>
        <v>1.1908715661366078</v>
      </c>
    </row>
    <row r="58" spans="2:4" x14ac:dyDescent="0.2">
      <c r="B58">
        <v>8</v>
      </c>
      <c r="C58" s="14">
        <v>1</v>
      </c>
      <c r="D58" s="10">
        <f t="shared" si="2"/>
        <v>1.1839698674567243</v>
      </c>
    </row>
    <row r="59" spans="2:4" x14ac:dyDescent="0.2">
      <c r="B59">
        <v>9</v>
      </c>
      <c r="C59" s="14">
        <v>0</v>
      </c>
      <c r="D59" s="10">
        <f t="shared" si="2"/>
        <v>1.1839750357676748</v>
      </c>
    </row>
    <row r="60" spans="2:4" x14ac:dyDescent="0.2">
      <c r="B60">
        <v>10</v>
      </c>
      <c r="C60" s="14">
        <v>1</v>
      </c>
      <c r="D60" s="10">
        <f t="shared" si="2"/>
        <v>1.1909130418319873</v>
      </c>
    </row>
    <row r="61" spans="2:4" x14ac:dyDescent="0.2">
      <c r="B61">
        <v>11</v>
      </c>
      <c r="C61" s="14">
        <v>1</v>
      </c>
      <c r="D61" s="10">
        <f t="shared" si="2"/>
        <v>1.2396473661228318</v>
      </c>
    </row>
    <row r="62" spans="2:4" x14ac:dyDescent="0.2">
      <c r="B62">
        <v>12</v>
      </c>
      <c r="C62" s="14">
        <v>2</v>
      </c>
      <c r="D62" s="10">
        <f t="shared" si="2"/>
        <v>1.5750679882017027</v>
      </c>
    </row>
    <row r="63" spans="2:4" x14ac:dyDescent="0.2">
      <c r="B63">
        <v>13</v>
      </c>
      <c r="C63" s="14">
        <v>0</v>
      </c>
      <c r="D63" s="10">
        <f t="shared" si="2"/>
        <v>1.2513930816377674</v>
      </c>
    </row>
    <row r="64" spans="2:4" x14ac:dyDescent="0.2">
      <c r="B64">
        <v>14</v>
      </c>
      <c r="C64" s="14">
        <v>0</v>
      </c>
      <c r="D64" s="10">
        <f t="shared" si="2"/>
        <v>1.2614140297295884</v>
      </c>
    </row>
    <row r="65" spans="2:5" x14ac:dyDescent="0.2">
      <c r="B65">
        <v>15</v>
      </c>
      <c r="C65" s="14">
        <v>2</v>
      </c>
      <c r="D65" s="10">
        <f t="shared" si="2"/>
        <v>1.6554860966385658</v>
      </c>
    </row>
    <row r="66" spans="2:5" x14ac:dyDescent="0.2">
      <c r="B66">
        <v>16</v>
      </c>
      <c r="C66" s="14">
        <v>2</v>
      </c>
      <c r="D66" s="10">
        <f t="shared" si="2"/>
        <v>1.6540302712997803</v>
      </c>
    </row>
    <row r="67" spans="2:5" x14ac:dyDescent="0.2">
      <c r="B67">
        <v>17</v>
      </c>
      <c r="C67" s="14">
        <v>1</v>
      </c>
      <c r="D67" s="10">
        <f t="shared" si="2"/>
        <v>1.2511261973355035</v>
      </c>
    </row>
    <row r="68" spans="2:5" x14ac:dyDescent="0.2">
      <c r="B68">
        <v>18</v>
      </c>
      <c r="C68" s="14">
        <v>1</v>
      </c>
      <c r="D68" s="10">
        <f t="shared" si="2"/>
        <v>1.1925874434530881</v>
      </c>
    </row>
    <row r="69" spans="2:5" x14ac:dyDescent="0.2">
      <c r="B69">
        <v>19</v>
      </c>
      <c r="C69" s="14">
        <v>1</v>
      </c>
      <c r="D69" s="10">
        <f t="shared" si="2"/>
        <v>1.1842567713933956</v>
      </c>
    </row>
    <row r="70" spans="2:5" x14ac:dyDescent="0.2">
      <c r="B70">
        <v>20</v>
      </c>
      <c r="C70" s="14">
        <v>1</v>
      </c>
      <c r="D70" s="10">
        <f t="shared" si="2"/>
        <v>1.1842725540564707</v>
      </c>
    </row>
    <row r="71" spans="2:5" x14ac:dyDescent="0.2">
      <c r="B71">
        <v>21</v>
      </c>
      <c r="C71" s="14">
        <v>1</v>
      </c>
      <c r="D71" s="10">
        <f t="shared" si="2"/>
        <v>1.1927140993242662</v>
      </c>
    </row>
    <row r="72" spans="2:5" x14ac:dyDescent="0.2">
      <c r="B72">
        <v>22</v>
      </c>
      <c r="C72" s="14">
        <v>1</v>
      </c>
      <c r="D72" s="10">
        <f t="shared" si="2"/>
        <v>1.2520001721674556</v>
      </c>
    </row>
    <row r="73" spans="2:5" x14ac:dyDescent="0.2">
      <c r="B73">
        <v>23</v>
      </c>
      <c r="C73" s="14">
        <v>2</v>
      </c>
      <c r="D73" s="10">
        <f t="shared" si="2"/>
        <v>1.6600432886230638</v>
      </c>
    </row>
    <row r="74" spans="2:5" x14ac:dyDescent="0.2">
      <c r="B74">
        <v>24</v>
      </c>
      <c r="C74" s="14">
        <v>2</v>
      </c>
      <c r="D74" s="10">
        <f t="shared" si="2"/>
        <v>1.6862581166168247</v>
      </c>
    </row>
    <row r="76" spans="2:5" x14ac:dyDescent="0.2">
      <c r="B76" s="3" t="s">
        <v>19</v>
      </c>
    </row>
    <row r="78" spans="2:5" x14ac:dyDescent="0.2">
      <c r="B78" s="1" t="s">
        <v>22</v>
      </c>
      <c r="C78" s="1" t="s">
        <v>0</v>
      </c>
      <c r="D78" s="1" t="s">
        <v>9</v>
      </c>
      <c r="E78" s="1" t="s">
        <v>10</v>
      </c>
    </row>
    <row r="79" spans="2:5" x14ac:dyDescent="0.2">
      <c r="B79">
        <v>1</v>
      </c>
      <c r="C79">
        <f>VLOOKUP(B79,$B$51:$C$74,2,FALSE)</f>
        <v>2</v>
      </c>
      <c r="D79" s="4">
        <f>D42*HLOOKUP(C79,$D$38:$F$40,2,FALSE)</f>
        <v>9.9999999999999978E-2</v>
      </c>
      <c r="E79" s="4">
        <f>D43*HLOOKUP(C79,$D$38:$F$40,3,FALSE)</f>
        <v>0.3</v>
      </c>
    </row>
    <row r="80" spans="2:5" x14ac:dyDescent="0.2">
      <c r="B80">
        <f>B79+1</f>
        <v>2</v>
      </c>
      <c r="C80">
        <f t="shared" ref="C80:C102" si="3">VLOOKUP(B80,$B$51:$C$74,2,FALSE)</f>
        <v>1</v>
      </c>
      <c r="D80" s="4">
        <f t="shared" ref="D80:D102" si="4">(D79*$D$44+E79*$D$46)*HLOOKUP(C80,$D$38:$F$40,2,FALSE)</f>
        <v>8.7999999999999995E-2</v>
      </c>
      <c r="E80" s="4">
        <f t="shared" ref="E80:E102" si="5">(D79*$D$45+E79*$D$47)*HLOOKUP(C80,$D$38:$F$40,3,FALSE)</f>
        <v>3.5999999999999997E-2</v>
      </c>
    </row>
    <row r="81" spans="2:5" x14ac:dyDescent="0.2">
      <c r="B81">
        <f t="shared" ref="B81:B89" si="6">B80+1</f>
        <v>3</v>
      </c>
      <c r="C81">
        <f t="shared" si="3"/>
        <v>0</v>
      </c>
      <c r="D81" s="4">
        <f t="shared" si="4"/>
        <v>3.184E-2</v>
      </c>
      <c r="E81" s="4">
        <f t="shared" si="5"/>
        <v>8.8800000000000007E-3</v>
      </c>
    </row>
    <row r="82" spans="2:5" x14ac:dyDescent="0.2">
      <c r="B82">
        <f t="shared" si="6"/>
        <v>4</v>
      </c>
      <c r="C82">
        <f t="shared" si="3"/>
        <v>1</v>
      </c>
      <c r="D82" s="4">
        <f t="shared" si="4"/>
        <v>1.06912E-2</v>
      </c>
      <c r="E82" s="4">
        <f t="shared" si="5"/>
        <v>2.7984000000000004E-3</v>
      </c>
    </row>
    <row r="83" spans="2:5" x14ac:dyDescent="0.2">
      <c r="B83">
        <f t="shared" si="6"/>
        <v>5</v>
      </c>
      <c r="C83">
        <f t="shared" si="3"/>
        <v>2</v>
      </c>
      <c r="D83" s="4">
        <f t="shared" si="4"/>
        <v>1.7766079999999996E-3</v>
      </c>
      <c r="E83" s="4">
        <f t="shared" si="5"/>
        <v>2.7639360000000003E-3</v>
      </c>
    </row>
    <row r="84" spans="2:5" x14ac:dyDescent="0.2">
      <c r="B84">
        <f t="shared" si="6"/>
        <v>6</v>
      </c>
      <c r="C84">
        <f t="shared" si="3"/>
        <v>0</v>
      </c>
      <c r="D84" s="4">
        <f t="shared" si="4"/>
        <v>1.0502374400000001E-3</v>
      </c>
      <c r="E84" s="4">
        <f t="shared" si="5"/>
        <v>3.8299008000000005E-4</v>
      </c>
    </row>
    <row r="85" spans="2:5" x14ac:dyDescent="0.2">
      <c r="B85">
        <f t="shared" si="6"/>
        <v>7</v>
      </c>
      <c r="C85">
        <f t="shared" si="3"/>
        <v>1</v>
      </c>
      <c r="D85" s="4">
        <f t="shared" si="4"/>
        <v>3.7066449920000006E-4</v>
      </c>
      <c r="E85" s="4">
        <f t="shared" si="5"/>
        <v>1.0131325440000002E-4</v>
      </c>
    </row>
    <row r="86" spans="2:5" x14ac:dyDescent="0.2">
      <c r="B86">
        <f t="shared" si="6"/>
        <v>8</v>
      </c>
      <c r="C86">
        <f t="shared" si="3"/>
        <v>1</v>
      </c>
      <c r="D86" s="4">
        <f t="shared" si="4"/>
        <v>1.2404871065600003E-4</v>
      </c>
      <c r="E86" s="4">
        <f t="shared" si="5"/>
        <v>3.237119539200001E-5</v>
      </c>
    </row>
    <row r="87" spans="2:5" x14ac:dyDescent="0.2">
      <c r="B87">
        <f t="shared" si="6"/>
        <v>9</v>
      </c>
      <c r="C87">
        <f t="shared" si="3"/>
        <v>0</v>
      </c>
      <c r="D87" s="4">
        <f t="shared" si="4"/>
        <v>4.1207878062080009E-5</v>
      </c>
      <c r="E87" s="4">
        <f t="shared" si="5"/>
        <v>1.0680042178560005E-5</v>
      </c>
    </row>
    <row r="88" spans="2:5" x14ac:dyDescent="0.2">
      <c r="B88">
        <f t="shared" si="6"/>
        <v>10</v>
      </c>
      <c r="C88">
        <f t="shared" si="3"/>
        <v>1</v>
      </c>
      <c r="D88" s="4">
        <f t="shared" si="4"/>
        <v>1.3674214293094403E-5</v>
      </c>
      <c r="E88" s="4">
        <f t="shared" si="5"/>
        <v>3.5404769015808014E-6</v>
      </c>
    </row>
    <row r="89" spans="2:5" x14ac:dyDescent="0.2">
      <c r="B89">
        <f t="shared" si="6"/>
        <v>11</v>
      </c>
      <c r="C89">
        <f t="shared" si="3"/>
        <v>1</v>
      </c>
      <c r="D89" s="4">
        <f t="shared" si="4"/>
        <v>4.5368753823825933E-6</v>
      </c>
      <c r="E89" s="4">
        <f t="shared" si="5"/>
        <v>1.1745005477437444E-6</v>
      </c>
    </row>
    <row r="90" spans="2:5" x14ac:dyDescent="0.2">
      <c r="B90">
        <f t="shared" ref="B90:B102" si="7">B89+1</f>
        <v>12</v>
      </c>
      <c r="C90">
        <f t="shared" si="3"/>
        <v>2</v>
      </c>
      <c r="D90" s="4">
        <f t="shared" si="4"/>
        <v>7.5261260830793734E-7</v>
      </c>
      <c r="E90" s="4">
        <f t="shared" si="5"/>
        <v>1.1689877331519903E-6</v>
      </c>
    </row>
    <row r="91" spans="2:5" x14ac:dyDescent="0.2">
      <c r="B91">
        <f t="shared" si="7"/>
        <v>13</v>
      </c>
      <c r="C91">
        <f t="shared" si="3"/>
        <v>0</v>
      </c>
      <c r="D91" s="4">
        <f t="shared" si="4"/>
        <v>4.4452907695662049E-7</v>
      </c>
      <c r="E91" s="4">
        <f t="shared" si="5"/>
        <v>1.620555298136753E-7</v>
      </c>
    </row>
    <row r="92" spans="2:5" x14ac:dyDescent="0.2">
      <c r="B92">
        <f t="shared" si="7"/>
        <v>14</v>
      </c>
      <c r="C92">
        <f t="shared" si="3"/>
        <v>0</v>
      </c>
      <c r="D92" s="4">
        <f t="shared" si="4"/>
        <v>1.5687924751058882E-7</v>
      </c>
      <c r="E92" s="4">
        <f t="shared" si="5"/>
        <v>4.2877297598764771E-8</v>
      </c>
    </row>
    <row r="93" spans="2:5" x14ac:dyDescent="0.2">
      <c r="B93">
        <f t="shared" si="7"/>
        <v>15</v>
      </c>
      <c r="C93">
        <f t="shared" si="3"/>
        <v>2</v>
      </c>
      <c r="D93" s="4">
        <f t="shared" si="4"/>
        <v>2.6250824411358905E-8</v>
      </c>
      <c r="E93" s="4">
        <f t="shared" si="5"/>
        <v>4.1101453831535421E-8</v>
      </c>
    </row>
    <row r="94" spans="2:5" x14ac:dyDescent="0.2">
      <c r="B94">
        <f t="shared" si="7"/>
        <v>16</v>
      </c>
      <c r="C94">
        <f t="shared" si="3"/>
        <v>2</v>
      </c>
      <c r="D94" s="4">
        <f t="shared" si="4"/>
        <v>7.7852608007437862E-9</v>
      </c>
      <c r="E94" s="4">
        <f t="shared" si="5"/>
        <v>1.7055584543505229E-8</v>
      </c>
    </row>
    <row r="95" spans="2:5" x14ac:dyDescent="0.2">
      <c r="B95">
        <f t="shared" si="7"/>
        <v>17</v>
      </c>
      <c r="C95">
        <f t="shared" si="3"/>
        <v>1</v>
      </c>
      <c r="D95" s="4">
        <f t="shared" si="4"/>
        <v>5.5909899329093065E-9</v>
      </c>
      <c r="E95" s="4">
        <f t="shared" si="5"/>
        <v>2.17267410239515E-9</v>
      </c>
    </row>
    <row r="96" spans="2:5" x14ac:dyDescent="0.2">
      <c r="B96">
        <f t="shared" si="7"/>
        <v>18</v>
      </c>
      <c r="C96">
        <f t="shared" si="3"/>
        <v>1</v>
      </c>
      <c r="D96" s="4">
        <f t="shared" si="4"/>
        <v>2.0000120016936356E-9</v>
      </c>
      <c r="E96" s="4">
        <f t="shared" si="5"/>
        <v>5.527268062140734E-10</v>
      </c>
    </row>
    <row r="97" spans="2:5" x14ac:dyDescent="0.2">
      <c r="B97">
        <f t="shared" si="7"/>
        <v>19</v>
      </c>
      <c r="C97">
        <f t="shared" si="3"/>
        <v>1</v>
      </c>
      <c r="D97" s="4">
        <f t="shared" si="4"/>
        <v>6.7054872171703258E-10</v>
      </c>
      <c r="E97" s="4">
        <f t="shared" si="5"/>
        <v>1.752734007230255E-10</v>
      </c>
    </row>
    <row r="98" spans="2:5" x14ac:dyDescent="0.2">
      <c r="B98">
        <f t="shared" si="7"/>
        <v>20</v>
      </c>
      <c r="C98">
        <f t="shared" si="3"/>
        <v>1</v>
      </c>
      <c r="D98" s="4">
        <f t="shared" si="4"/>
        <v>2.2280832222537425E-10</v>
      </c>
      <c r="E98" s="4">
        <f t="shared" si="5"/>
        <v>5.776026337532451E-11</v>
      </c>
    </row>
    <row r="99" spans="2:5" x14ac:dyDescent="0.2">
      <c r="B99">
        <f t="shared" si="7"/>
        <v>21</v>
      </c>
      <c r="C99">
        <f t="shared" si="3"/>
        <v>1</v>
      </c>
      <c r="D99" s="4">
        <f t="shared" si="4"/>
        <v>7.3938382898169694E-11</v>
      </c>
      <c r="E99" s="4">
        <f t="shared" si="5"/>
        <v>1.9144525671054908E-11</v>
      </c>
    </row>
    <row r="100" spans="2:5" x14ac:dyDescent="0.2">
      <c r="B100">
        <f t="shared" si="7"/>
        <v>22</v>
      </c>
      <c r="C100">
        <f t="shared" si="3"/>
        <v>1</v>
      </c>
      <c r="D100" s="4">
        <f t="shared" si="4"/>
        <v>2.4531652345698497E-11</v>
      </c>
      <c r="E100" s="4">
        <f t="shared" si="5"/>
        <v>6.3507555409956739E-12</v>
      </c>
    </row>
    <row r="101" spans="2:5" x14ac:dyDescent="0.2">
      <c r="B101">
        <f t="shared" si="7"/>
        <v>23</v>
      </c>
      <c r="C101">
        <f t="shared" si="3"/>
        <v>2</v>
      </c>
      <c r="D101" s="4">
        <f t="shared" si="4"/>
        <v>4.0695068824973558E-12</v>
      </c>
      <c r="E101" s="4">
        <f t="shared" si="5"/>
        <v>6.3209240845244322E-12</v>
      </c>
    </row>
    <row r="102" spans="2:5" x14ac:dyDescent="0.2">
      <c r="B102">
        <f t="shared" si="7"/>
        <v>24</v>
      </c>
      <c r="C102">
        <f t="shared" si="3"/>
        <v>2</v>
      </c>
      <c r="D102" s="4">
        <f t="shared" si="4"/>
        <v>1.2018233720020726E-12</v>
      </c>
      <c r="E102" s="4">
        <f t="shared" si="5"/>
        <v>2.6287884642068537E-12</v>
      </c>
    </row>
    <row r="103" spans="2:5" ht="3.75" customHeight="1" x14ac:dyDescent="0.2"/>
    <row r="104" spans="2:5" ht="15" x14ac:dyDescent="0.25">
      <c r="B104" t="s">
        <v>11</v>
      </c>
      <c r="D104" s="5">
        <f>D102+E102</f>
        <v>3.8306118362089264E-12</v>
      </c>
    </row>
    <row r="106" spans="2:5" x14ac:dyDescent="0.2">
      <c r="B106" s="3" t="s">
        <v>20</v>
      </c>
    </row>
    <row r="108" spans="2:5" x14ac:dyDescent="0.2">
      <c r="B108" s="1" t="s">
        <v>22</v>
      </c>
      <c r="C108" s="1" t="s">
        <v>0</v>
      </c>
      <c r="D108" s="1" t="s">
        <v>9</v>
      </c>
      <c r="E108" s="1" t="s">
        <v>10</v>
      </c>
    </row>
    <row r="109" spans="2:5" x14ac:dyDescent="0.2">
      <c r="B109">
        <f t="shared" ref="B109:B126" si="8">B110-1</f>
        <v>1</v>
      </c>
      <c r="C109">
        <f t="shared" ref="C109:C132" si="9">VLOOKUP(B109,$B$51:$C$74,2,FALSE)</f>
        <v>2</v>
      </c>
      <c r="D109" s="4">
        <f t="shared" ref="D109:D130" si="10">(D110*$D$44*HLOOKUP(C110,$D$38:$F$40,2,FALSE))+(E110*$D$45*HLOOKUP(C110,$D$38:$F$40,3,FALSE))</f>
        <v>1.0665045100087955E-11</v>
      </c>
      <c r="E109" s="4">
        <f t="shared" ref="E109:E131" si="11">(D110*$D$46*HLOOKUP(C110,$D$38:$F$40,2,FALSE))+(E110*$D$47*HLOOKUP(C110,$D$38:$F$40,3,FALSE))</f>
        <v>9.2136910873337689E-12</v>
      </c>
    </row>
    <row r="110" spans="2:5" x14ac:dyDescent="0.2">
      <c r="B110">
        <f t="shared" si="8"/>
        <v>2</v>
      </c>
      <c r="C110">
        <f t="shared" si="9"/>
        <v>1</v>
      </c>
      <c r="D110" s="4">
        <f t="shared" si="10"/>
        <v>3.2105190298048085E-11</v>
      </c>
      <c r="E110" s="4">
        <f t="shared" si="11"/>
        <v>2.7926530277241503E-11</v>
      </c>
    </row>
    <row r="111" spans="2:5" x14ac:dyDescent="0.2">
      <c r="B111">
        <f t="shared" si="8"/>
        <v>3</v>
      </c>
      <c r="C111">
        <f t="shared" si="9"/>
        <v>0</v>
      </c>
      <c r="D111" s="4">
        <f t="shared" si="10"/>
        <v>9.5932950823144923E-11</v>
      </c>
      <c r="E111" s="4">
        <f t="shared" si="11"/>
        <v>8.7399401126125178E-11</v>
      </c>
    </row>
    <row r="112" spans="2:5" x14ac:dyDescent="0.2">
      <c r="B112">
        <f t="shared" si="8"/>
        <v>4</v>
      </c>
      <c r="C112">
        <f t="shared" si="9"/>
        <v>1</v>
      </c>
      <c r="D112" s="4">
        <f t="shared" si="10"/>
        <v>2.7183318842168627E-10</v>
      </c>
      <c r="E112" s="4">
        <f t="shared" si="11"/>
        <v>3.3032763441787929E-10</v>
      </c>
    </row>
    <row r="113" spans="2:5" x14ac:dyDescent="0.2">
      <c r="B113">
        <f t="shared" si="8"/>
        <v>5</v>
      </c>
      <c r="C113">
        <f t="shared" si="9"/>
        <v>2</v>
      </c>
      <c r="D113" s="4">
        <f t="shared" si="10"/>
        <v>9.2045759713698366E-10</v>
      </c>
      <c r="E113" s="4">
        <f t="shared" si="11"/>
        <v>7.9427291568060322E-10</v>
      </c>
    </row>
    <row r="114" spans="2:5" x14ac:dyDescent="0.2">
      <c r="B114">
        <f t="shared" si="8"/>
        <v>6</v>
      </c>
      <c r="C114">
        <f t="shared" si="9"/>
        <v>0</v>
      </c>
      <c r="D114" s="4">
        <f t="shared" si="10"/>
        <v>2.7743365483038855E-9</v>
      </c>
      <c r="E114" s="4">
        <f t="shared" si="11"/>
        <v>2.3940560601982613E-9</v>
      </c>
    </row>
    <row r="115" spans="2:5" x14ac:dyDescent="0.2">
      <c r="B115">
        <f t="shared" si="8"/>
        <v>7</v>
      </c>
      <c r="C115">
        <f t="shared" si="9"/>
        <v>1</v>
      </c>
      <c r="D115" s="4">
        <f t="shared" si="10"/>
        <v>8.3618932011558043E-9</v>
      </c>
      <c r="E115" s="4">
        <f t="shared" si="11"/>
        <v>7.2167741996710007E-9</v>
      </c>
    </row>
    <row r="116" spans="2:5" x14ac:dyDescent="0.2">
      <c r="B116">
        <f t="shared" si="8"/>
        <v>8</v>
      </c>
      <c r="C116">
        <f t="shared" si="9"/>
        <v>1</v>
      </c>
      <c r="D116" s="4">
        <f t="shared" si="10"/>
        <v>2.5198929258457522E-8</v>
      </c>
      <c r="E116" s="4">
        <f t="shared" si="11"/>
        <v>2.1769883479794955E-8</v>
      </c>
    </row>
    <row r="117" spans="2:5" x14ac:dyDescent="0.2">
      <c r="B117">
        <f t="shared" si="8"/>
        <v>9</v>
      </c>
      <c r="C117">
        <f t="shared" si="9"/>
        <v>0</v>
      </c>
      <c r="D117" s="4">
        <f t="shared" si="10"/>
        <v>7.5856244816128433E-8</v>
      </c>
      <c r="E117" s="4">
        <f t="shared" si="11"/>
        <v>6.5986345165692668E-8</v>
      </c>
    </row>
    <row r="118" spans="2:5" x14ac:dyDescent="0.2">
      <c r="B118">
        <f t="shared" si="8"/>
        <v>10</v>
      </c>
      <c r="C118">
        <f t="shared" si="9"/>
        <v>1</v>
      </c>
      <c r="D118" s="4">
        <f t="shared" si="10"/>
        <v>2.2665273572945517E-7</v>
      </c>
      <c r="E118" s="4">
        <f t="shared" si="11"/>
        <v>2.0655798019801637E-7</v>
      </c>
    </row>
    <row r="119" spans="2:5" x14ac:dyDescent="0.2">
      <c r="B119">
        <f t="shared" si="8"/>
        <v>11</v>
      </c>
      <c r="C119">
        <f t="shared" si="9"/>
        <v>1</v>
      </c>
      <c r="D119" s="4">
        <f t="shared" si="10"/>
        <v>6.4198717256653333E-7</v>
      </c>
      <c r="E119" s="4">
        <f t="shared" si="11"/>
        <v>7.8160545684709685E-7</v>
      </c>
    </row>
    <row r="120" spans="2:5" x14ac:dyDescent="0.2">
      <c r="B120">
        <f t="shared" si="8"/>
        <v>12</v>
      </c>
      <c r="C120">
        <f t="shared" si="9"/>
        <v>2</v>
      </c>
      <c r="D120" s="4">
        <f t="shared" si="10"/>
        <v>2.1627987307284396E-6</v>
      </c>
      <c r="E120" s="4">
        <f t="shared" si="11"/>
        <v>1.8844186125808434E-6</v>
      </c>
    </row>
    <row r="121" spans="2:5" x14ac:dyDescent="0.2">
      <c r="B121">
        <f t="shared" si="8"/>
        <v>13</v>
      </c>
      <c r="C121">
        <f t="shared" si="9"/>
        <v>0</v>
      </c>
      <c r="D121" s="4">
        <f t="shared" si="10"/>
        <v>6.4509222698745841E-6</v>
      </c>
      <c r="E121" s="4">
        <f t="shared" si="11"/>
        <v>5.9423415860592632E-6</v>
      </c>
    </row>
    <row r="122" spans="2:5" x14ac:dyDescent="0.2">
      <c r="B122">
        <f t="shared" si="8"/>
        <v>14</v>
      </c>
      <c r="C122">
        <f t="shared" si="9"/>
        <v>0</v>
      </c>
      <c r="D122" s="4">
        <f t="shared" si="10"/>
        <v>1.8034483238993916E-5</v>
      </c>
      <c r="E122" s="4">
        <f t="shared" si="11"/>
        <v>2.3354449382604798E-5</v>
      </c>
    </row>
    <row r="123" spans="2:5" x14ac:dyDescent="0.2">
      <c r="B123">
        <f t="shared" si="8"/>
        <v>15</v>
      </c>
      <c r="C123">
        <f t="shared" si="9"/>
        <v>2</v>
      </c>
      <c r="D123" s="4">
        <f t="shared" si="10"/>
        <v>5.0272670117887994E-5</v>
      </c>
      <c r="E123" s="4">
        <f t="shared" si="11"/>
        <v>6.1090607902719997E-5</v>
      </c>
    </row>
    <row r="124" spans="2:5" x14ac:dyDescent="0.2">
      <c r="B124">
        <f t="shared" si="8"/>
        <v>16</v>
      </c>
      <c r="C124">
        <f t="shared" si="9"/>
        <v>2</v>
      </c>
      <c r="D124" s="4">
        <f t="shared" si="10"/>
        <v>1.7022881720319996E-4</v>
      </c>
      <c r="E124" s="4">
        <f t="shared" si="11"/>
        <v>1.4689242060800001E-4</v>
      </c>
    </row>
    <row r="125" spans="2:5" x14ac:dyDescent="0.2">
      <c r="B125">
        <f t="shared" si="8"/>
        <v>17</v>
      </c>
      <c r="C125">
        <f t="shared" si="9"/>
        <v>1</v>
      </c>
      <c r="D125" s="4">
        <f t="shared" si="10"/>
        <v>5.1308353023999992E-4</v>
      </c>
      <c r="E125" s="4">
        <f t="shared" si="11"/>
        <v>4.4275714560000005E-4</v>
      </c>
    </row>
    <row r="126" spans="2:5" x14ac:dyDescent="0.2">
      <c r="B126">
        <f t="shared" si="8"/>
        <v>18</v>
      </c>
      <c r="C126">
        <f t="shared" si="9"/>
        <v>1</v>
      </c>
      <c r="D126" s="4">
        <f t="shared" si="10"/>
        <v>1.5464327679999999E-3</v>
      </c>
      <c r="E126" s="4">
        <f t="shared" si="11"/>
        <v>1.3347059200000001E-3</v>
      </c>
    </row>
    <row r="127" spans="2:5" x14ac:dyDescent="0.2">
      <c r="B127">
        <f t="shared" ref="B127" si="12">B128-1</f>
        <v>19</v>
      </c>
      <c r="C127">
        <f t="shared" si="9"/>
        <v>1</v>
      </c>
      <c r="D127" s="4">
        <f t="shared" si="10"/>
        <v>4.6600575999999998E-3</v>
      </c>
      <c r="E127" s="4">
        <f t="shared" si="11"/>
        <v>4.0269440000000011E-3</v>
      </c>
    </row>
    <row r="128" spans="2:5" x14ac:dyDescent="0.2">
      <c r="B128">
        <v>20</v>
      </c>
      <c r="C128">
        <f t="shared" si="9"/>
        <v>1</v>
      </c>
      <c r="D128" s="4">
        <f t="shared" si="10"/>
        <v>1.4024320000000002E-2</v>
      </c>
      <c r="E128" s="4">
        <f t="shared" si="11"/>
        <v>1.22208E-2</v>
      </c>
    </row>
    <row r="129" spans="2:7" x14ac:dyDescent="0.2">
      <c r="B129">
        <v>21</v>
      </c>
      <c r="C129">
        <f t="shared" si="9"/>
        <v>1</v>
      </c>
      <c r="D129" s="4">
        <f t="shared" si="10"/>
        <v>4.1824E-2</v>
      </c>
      <c r="E129" s="4">
        <f t="shared" si="11"/>
        <v>3.8559999999999997E-2</v>
      </c>
    </row>
    <row r="130" spans="2:7" x14ac:dyDescent="0.2">
      <c r="B130">
        <v>22</v>
      </c>
      <c r="C130">
        <f t="shared" si="9"/>
        <v>1</v>
      </c>
      <c r="D130" s="4">
        <f t="shared" si="10"/>
        <v>0.11679999999999999</v>
      </c>
      <c r="E130" s="4">
        <f t="shared" si="11"/>
        <v>0.15199999999999997</v>
      </c>
    </row>
    <row r="131" spans="2:7" x14ac:dyDescent="0.2">
      <c r="B131">
        <v>23</v>
      </c>
      <c r="C131">
        <f t="shared" si="9"/>
        <v>2</v>
      </c>
      <c r="D131" s="4">
        <f>(D132*$D$44*HLOOKUP(C132,$D$38:$F$40,2,FALSE))+(E132*$D$45*HLOOKUP(C132,$D$38:$F$40,3,FALSE))</f>
        <v>0.31999999999999995</v>
      </c>
      <c r="E131" s="4">
        <f t="shared" si="11"/>
        <v>0.39999999999999997</v>
      </c>
    </row>
    <row r="132" spans="2:7" x14ac:dyDescent="0.2">
      <c r="B132">
        <v>24</v>
      </c>
      <c r="C132">
        <f t="shared" si="9"/>
        <v>2</v>
      </c>
      <c r="D132" s="4">
        <v>1</v>
      </c>
      <c r="E132" s="4">
        <v>1</v>
      </c>
    </row>
    <row r="133" spans="2:7" ht="15" x14ac:dyDescent="0.25">
      <c r="D133" s="5"/>
    </row>
    <row r="135" spans="2:7" x14ac:dyDescent="0.2">
      <c r="B135" s="3" t="s">
        <v>21</v>
      </c>
    </row>
    <row r="136" spans="2:7" x14ac:dyDescent="0.2">
      <c r="D136" s="12" t="s">
        <v>12</v>
      </c>
      <c r="E136" s="12"/>
      <c r="F136" s="12"/>
      <c r="G136" s="12"/>
    </row>
    <row r="137" spans="2:7" x14ac:dyDescent="0.2">
      <c r="B137" s="1" t="s">
        <v>22</v>
      </c>
      <c r="C137" s="1" t="s">
        <v>0</v>
      </c>
      <c r="D137" s="1" t="s">
        <v>13</v>
      </c>
      <c r="E137" s="1" t="s">
        <v>14</v>
      </c>
      <c r="F137" s="1" t="s">
        <v>15</v>
      </c>
      <c r="G137" s="1" t="s">
        <v>16</v>
      </c>
    </row>
    <row r="138" spans="2:7" x14ac:dyDescent="0.2">
      <c r="B138">
        <v>1</v>
      </c>
      <c r="C138">
        <f t="shared" ref="C138:C161" si="13">VLOOKUP(B138,$B$51:$C$74,2,FALSE)</f>
        <v>2</v>
      </c>
      <c r="D138" s="4">
        <f t="shared" ref="D138:D160" si="14">(D79*$D$44*HLOOKUP($C139,$D$38:$F$40,2,FALSE)*D110)/$D$104</f>
        <v>0.23467408518087096</v>
      </c>
      <c r="E138" s="4">
        <f t="shared" ref="E138:E160" si="15">(D79*$D$45*HLOOKUP($C139,$D$38:$F$40,3,FALSE)*E110)/$D$104</f>
        <v>4.3742145857638949E-2</v>
      </c>
      <c r="F138" s="4">
        <f t="shared" ref="F138:F160" si="16">(E79*$D$46*HLOOKUP($C139,$D$38:$F$40,2,FALSE)*D110)/$D$104</f>
        <v>0.50287303967329511</v>
      </c>
      <c r="G138" s="4">
        <f t="shared" ref="G138:G160" si="17">(E79*$D$47*HLOOKUP($C139,$D$38:$F$40,3,FALSE)*E110)/$D$104</f>
        <v>0.21871072928819474</v>
      </c>
    </row>
    <row r="139" spans="2:7" x14ac:dyDescent="0.2">
      <c r="B139">
        <f>B138+1</f>
        <v>2</v>
      </c>
      <c r="C139">
        <f t="shared" si="13"/>
        <v>1</v>
      </c>
      <c r="D139" s="4">
        <f t="shared" si="14"/>
        <v>0.61707842228715104</v>
      </c>
      <c r="E139" s="4">
        <f t="shared" si="15"/>
        <v>0.12046870256701518</v>
      </c>
      <c r="F139" s="4">
        <f t="shared" si="16"/>
        <v>0.18031512339559608</v>
      </c>
      <c r="G139" s="4">
        <f t="shared" si="17"/>
        <v>8.2137751750237617E-2</v>
      </c>
    </row>
    <row r="140" spans="2:7" x14ac:dyDescent="0.2">
      <c r="B140">
        <f t="shared" ref="B140:B154" si="18">B139+1</f>
        <v>3</v>
      </c>
      <c r="C140">
        <f t="shared" si="13"/>
        <v>0</v>
      </c>
      <c r="D140" s="4">
        <f t="shared" si="14"/>
        <v>0.63265278369093403</v>
      </c>
      <c r="E140" s="4">
        <f t="shared" si="15"/>
        <v>0.16474076199181306</v>
      </c>
      <c r="F140" s="4">
        <f t="shared" si="16"/>
        <v>0.12603097449693768</v>
      </c>
      <c r="G140" s="4">
        <f t="shared" si="17"/>
        <v>7.6575479820315109E-2</v>
      </c>
    </row>
    <row r="141" spans="2:7" x14ac:dyDescent="0.2">
      <c r="B141">
        <f t="shared" si="18"/>
        <v>4</v>
      </c>
      <c r="C141">
        <f t="shared" si="13"/>
        <v>1</v>
      </c>
      <c r="D141" s="4">
        <f t="shared" si="14"/>
        <v>0.35965833544622983</v>
      </c>
      <c r="E141" s="4">
        <f t="shared" si="15"/>
        <v>0.39902542274164182</v>
      </c>
      <c r="F141" s="4">
        <f t="shared" si="16"/>
        <v>6.7242744761561543E-2</v>
      </c>
      <c r="G141" s="4">
        <f t="shared" si="17"/>
        <v>0.1740734970505666</v>
      </c>
    </row>
    <row r="142" spans="2:7" x14ac:dyDescent="0.2">
      <c r="B142">
        <f t="shared" si="18"/>
        <v>5</v>
      </c>
      <c r="C142">
        <f t="shared" si="13"/>
        <v>2</v>
      </c>
      <c r="D142" s="4">
        <f t="shared" si="14"/>
        <v>0.36028040449026244</v>
      </c>
      <c r="E142" s="4">
        <f t="shared" si="15"/>
        <v>6.6620675717528888E-2</v>
      </c>
      <c r="F142" s="4">
        <f t="shared" si="16"/>
        <v>0.40035842783599762</v>
      </c>
      <c r="G142" s="4">
        <f t="shared" si="17"/>
        <v>0.17274049195621088</v>
      </c>
    </row>
    <row r="143" spans="2:7" x14ac:dyDescent="0.2">
      <c r="B143">
        <f t="shared" si="18"/>
        <v>6</v>
      </c>
      <c r="C143">
        <f t="shared" si="13"/>
        <v>0</v>
      </c>
      <c r="D143" s="4">
        <f t="shared" si="14"/>
        <v>0.64192161244702095</v>
      </c>
      <c r="E143" s="4">
        <f t="shared" si="15"/>
        <v>0.11871721987923921</v>
      </c>
      <c r="F143" s="4">
        <f t="shared" si="16"/>
        <v>0.16720682141637119</v>
      </c>
      <c r="G143" s="4">
        <f t="shared" si="17"/>
        <v>7.2154346257368579E-2</v>
      </c>
    </row>
    <row r="144" spans="2:7" x14ac:dyDescent="0.2">
      <c r="B144">
        <f t="shared" si="18"/>
        <v>7</v>
      </c>
      <c r="C144">
        <f t="shared" si="13"/>
        <v>1</v>
      </c>
      <c r="D144" s="4">
        <f t="shared" si="14"/>
        <v>0.68273625471219024</v>
      </c>
      <c r="E144" s="4">
        <f t="shared" si="15"/>
        <v>0.12639217915120193</v>
      </c>
      <c r="F144" s="4">
        <f t="shared" si="16"/>
        <v>0.13329387783108537</v>
      </c>
      <c r="G144" s="4">
        <f t="shared" si="17"/>
        <v>5.7577688305522415E-2</v>
      </c>
    </row>
    <row r="145" spans="2:7" x14ac:dyDescent="0.2">
      <c r="B145">
        <f t="shared" si="18"/>
        <v>8</v>
      </c>
      <c r="C145">
        <f t="shared" si="13"/>
        <v>1</v>
      </c>
      <c r="D145" s="4">
        <f t="shared" si="14"/>
        <v>0.68781790866824588</v>
      </c>
      <c r="E145" s="4">
        <f t="shared" si="15"/>
        <v>0.1282122238750297</v>
      </c>
      <c r="F145" s="4">
        <f t="shared" si="16"/>
        <v>0.12820705556407894</v>
      </c>
      <c r="G145" s="4">
        <f t="shared" si="17"/>
        <v>5.5762811892645377E-2</v>
      </c>
    </row>
    <row r="146" spans="2:7" x14ac:dyDescent="0.2">
      <c r="B146">
        <f t="shared" si="18"/>
        <v>9</v>
      </c>
      <c r="C146">
        <f t="shared" si="13"/>
        <v>0</v>
      </c>
      <c r="D146" s="4">
        <f t="shared" si="14"/>
        <v>0.68270188544436761</v>
      </c>
      <c r="E146" s="4">
        <f t="shared" si="15"/>
        <v>0.1333230787879571</v>
      </c>
      <c r="F146" s="4">
        <f t="shared" si="16"/>
        <v>0.12638507272364463</v>
      </c>
      <c r="G146" s="4">
        <f t="shared" si="17"/>
        <v>5.7589963044030454E-2</v>
      </c>
    </row>
    <row r="147" spans="2:7" x14ac:dyDescent="0.2">
      <c r="B147">
        <f t="shared" si="18"/>
        <v>10</v>
      </c>
      <c r="C147">
        <f t="shared" si="13"/>
        <v>1</v>
      </c>
      <c r="D147" s="4">
        <f t="shared" si="14"/>
        <v>0.64168016834056762</v>
      </c>
      <c r="E147" s="4">
        <f t="shared" si="15"/>
        <v>0.16740678982744456</v>
      </c>
      <c r="F147" s="4">
        <f t="shared" si="16"/>
        <v>0.11867246553660002</v>
      </c>
      <c r="G147" s="4">
        <f t="shared" si="17"/>
        <v>7.2240576295387576E-2</v>
      </c>
    </row>
    <row r="148" spans="2:7" x14ac:dyDescent="0.2">
      <c r="B148">
        <f t="shared" si="18"/>
        <v>11</v>
      </c>
      <c r="C148">
        <f t="shared" si="13"/>
        <v>1</v>
      </c>
      <c r="D148" s="4">
        <f t="shared" si="14"/>
        <v>0.35861862891025104</v>
      </c>
      <c r="E148" s="4">
        <f t="shared" si="15"/>
        <v>0.40173400496691664</v>
      </c>
      <c r="F148" s="4">
        <f t="shared" si="16"/>
        <v>6.6313382888045794E-2</v>
      </c>
      <c r="G148" s="4">
        <f t="shared" si="17"/>
        <v>0.17333398323478633</v>
      </c>
    </row>
    <row r="149" spans="2:7" x14ac:dyDescent="0.2">
      <c r="B149">
        <f t="shared" si="18"/>
        <v>12</v>
      </c>
      <c r="C149">
        <f t="shared" si="13"/>
        <v>2</v>
      </c>
      <c r="D149" s="4">
        <f t="shared" si="14"/>
        <v>0.35488135579186247</v>
      </c>
      <c r="E149" s="4">
        <f t="shared" si="15"/>
        <v>7.0050656006434342E-2</v>
      </c>
      <c r="F149" s="4">
        <f t="shared" si="16"/>
        <v>0.39372556257036972</v>
      </c>
      <c r="G149" s="4">
        <f t="shared" si="17"/>
        <v>0.18134242563133324</v>
      </c>
    </row>
    <row r="150" spans="2:7" x14ac:dyDescent="0.2">
      <c r="B150">
        <f t="shared" si="18"/>
        <v>13</v>
      </c>
      <c r="C150">
        <f t="shared" si="13"/>
        <v>0</v>
      </c>
      <c r="D150" s="4">
        <f t="shared" si="14"/>
        <v>0.58599479887657835</v>
      </c>
      <c r="E150" s="4">
        <f t="shared" si="15"/>
        <v>0.16261211948565382</v>
      </c>
      <c r="F150" s="4">
        <f t="shared" si="16"/>
        <v>0.15259117139383291</v>
      </c>
      <c r="G150" s="4">
        <f t="shared" si="17"/>
        <v>9.8801910243934712E-2</v>
      </c>
    </row>
    <row r="151" spans="2:7" x14ac:dyDescent="0.2">
      <c r="B151">
        <f t="shared" si="18"/>
        <v>14</v>
      </c>
      <c r="C151">
        <f t="shared" si="13"/>
        <v>0</v>
      </c>
      <c r="D151" s="4">
        <f t="shared" si="14"/>
        <v>0.28824205098125349</v>
      </c>
      <c r="E151" s="4">
        <f t="shared" si="15"/>
        <v>0.45034391928915796</v>
      </c>
      <c r="F151" s="4">
        <f t="shared" si="16"/>
        <v>5.6271852380180579E-2</v>
      </c>
      <c r="G151" s="4">
        <f t="shared" si="17"/>
        <v>0.20514217734940798</v>
      </c>
    </row>
    <row r="152" spans="2:7" x14ac:dyDescent="0.2">
      <c r="B152">
        <f t="shared" si="18"/>
        <v>15</v>
      </c>
      <c r="C152">
        <f t="shared" si="13"/>
        <v>2</v>
      </c>
      <c r="D152" s="4">
        <f t="shared" si="14"/>
        <v>0.1633187013907379</v>
      </c>
      <c r="E152" s="4">
        <f t="shared" si="15"/>
        <v>0.18119520197069616</v>
      </c>
      <c r="F152" s="4">
        <f t="shared" si="16"/>
        <v>0.18265102730948168</v>
      </c>
      <c r="G152" s="4">
        <f t="shared" si="17"/>
        <v>0.47283506932908426</v>
      </c>
    </row>
    <row r="153" spans="2:7" x14ac:dyDescent="0.2">
      <c r="B153">
        <f t="shared" si="18"/>
        <v>16</v>
      </c>
      <c r="C153">
        <f t="shared" si="13"/>
        <v>2</v>
      </c>
      <c r="D153" s="4">
        <f t="shared" si="14"/>
        <v>0.29197866935080313</v>
      </c>
      <c r="E153" s="4">
        <f t="shared" si="15"/>
        <v>5.3991059349416483E-2</v>
      </c>
      <c r="F153" s="4">
        <f t="shared" si="16"/>
        <v>0.45689513331369308</v>
      </c>
      <c r="G153" s="4">
        <f t="shared" si="17"/>
        <v>0.1971351379860872</v>
      </c>
    </row>
    <row r="154" spans="2:7" x14ac:dyDescent="0.2">
      <c r="B154">
        <f t="shared" si="18"/>
        <v>17</v>
      </c>
      <c r="C154">
        <f t="shared" si="13"/>
        <v>1</v>
      </c>
      <c r="D154" s="4">
        <f t="shared" si="14"/>
        <v>0.6319891740799447</v>
      </c>
      <c r="E154" s="4">
        <f t="shared" si="15"/>
        <v>0.11688462858455154</v>
      </c>
      <c r="F154" s="4">
        <f t="shared" si="16"/>
        <v>0.17542338246696706</v>
      </c>
      <c r="G154" s="4">
        <f t="shared" si="17"/>
        <v>7.5702814868536569E-2</v>
      </c>
    </row>
    <row r="155" spans="2:7" x14ac:dyDescent="0.2">
      <c r="B155">
        <f t="shared" ref="B155:B161" si="19">B154+1</f>
        <v>18</v>
      </c>
      <c r="C155">
        <f t="shared" si="13"/>
        <v>1</v>
      </c>
      <c r="D155" s="4">
        <f t="shared" si="14"/>
        <v>0.68126138266886649</v>
      </c>
      <c r="E155" s="4">
        <f t="shared" si="15"/>
        <v>0.12615117387804531</v>
      </c>
      <c r="F155" s="4">
        <f t="shared" si="16"/>
        <v>0.13448184593773788</v>
      </c>
      <c r="G155" s="4">
        <f t="shared" si="17"/>
        <v>5.8105597515350237E-2</v>
      </c>
    </row>
    <row r="156" spans="2:7" x14ac:dyDescent="0.2">
      <c r="B156">
        <f t="shared" si="19"/>
        <v>19</v>
      </c>
      <c r="C156">
        <f t="shared" si="13"/>
        <v>1</v>
      </c>
      <c r="D156" s="4">
        <f t="shared" si="14"/>
        <v>0.68738814327690057</v>
      </c>
      <c r="E156" s="4">
        <f t="shared" si="15"/>
        <v>0.12835508532970399</v>
      </c>
      <c r="F156" s="4">
        <f t="shared" si="16"/>
        <v>0.12833930266662882</v>
      </c>
      <c r="G156" s="4">
        <f t="shared" si="17"/>
        <v>5.5917468726766707E-2</v>
      </c>
    </row>
    <row r="157" spans="2:7" x14ac:dyDescent="0.2">
      <c r="B157">
        <f t="shared" si="19"/>
        <v>20</v>
      </c>
      <c r="C157">
        <f t="shared" si="13"/>
        <v>1</v>
      </c>
      <c r="D157" s="4">
        <f t="shared" si="14"/>
        <v>0.68115642795941667</v>
      </c>
      <c r="E157" s="4">
        <f t="shared" si="15"/>
        <v>0.13457101798411258</v>
      </c>
      <c r="F157" s="4">
        <f t="shared" si="16"/>
        <v>0.12612947271631694</v>
      </c>
      <c r="G157" s="4">
        <f t="shared" si="17"/>
        <v>5.8143081340153745E-2</v>
      </c>
    </row>
    <row r="158" spans="2:7" x14ac:dyDescent="0.2">
      <c r="B158">
        <f t="shared" si="19"/>
        <v>21</v>
      </c>
      <c r="C158">
        <f t="shared" si="13"/>
        <v>1</v>
      </c>
      <c r="D158" s="4">
        <f t="shared" si="14"/>
        <v>0.63125186724605942</v>
      </c>
      <c r="E158" s="4">
        <f t="shared" si="15"/>
        <v>0.17603403342967414</v>
      </c>
      <c r="F158" s="4">
        <f t="shared" si="16"/>
        <v>0.11674796058648498</v>
      </c>
      <c r="G158" s="4">
        <f t="shared" si="17"/>
        <v>7.5966138737781311E-2</v>
      </c>
    </row>
    <row r="159" spans="2:7" x14ac:dyDescent="0.2">
      <c r="B159">
        <f t="shared" si="19"/>
        <v>22</v>
      </c>
      <c r="C159">
        <f t="shared" si="13"/>
        <v>1</v>
      </c>
      <c r="D159" s="4">
        <f t="shared" si="14"/>
        <v>0.28690404355220878</v>
      </c>
      <c r="E159" s="4">
        <f t="shared" si="15"/>
        <v>0.46109578428033576</v>
      </c>
      <c r="F159" s="4">
        <f t="shared" si="16"/>
        <v>5.3052667824727458E-2</v>
      </c>
      <c r="G159" s="4">
        <f t="shared" si="17"/>
        <v>0.19894750434272801</v>
      </c>
    </row>
    <row r="160" spans="2:7" x14ac:dyDescent="0.2">
      <c r="B160">
        <f t="shared" si="19"/>
        <v>23</v>
      </c>
      <c r="C160">
        <f t="shared" si="13"/>
        <v>2</v>
      </c>
      <c r="D160" s="4">
        <f t="shared" si="14"/>
        <v>0.14873106122740956</v>
      </c>
      <c r="E160" s="4">
        <f t="shared" si="15"/>
        <v>0.19122565014952667</v>
      </c>
      <c r="F160" s="4">
        <f t="shared" si="16"/>
        <v>0.1650108221557659</v>
      </c>
      <c r="G160" s="4">
        <f t="shared" si="17"/>
        <v>0.49503246646729787</v>
      </c>
    </row>
    <row r="161" spans="2:5" x14ac:dyDescent="0.2">
      <c r="B161">
        <f t="shared" si="19"/>
        <v>24</v>
      </c>
      <c r="C161">
        <f t="shared" si="13"/>
        <v>2</v>
      </c>
    </row>
    <row r="163" spans="2:5" x14ac:dyDescent="0.2">
      <c r="B163" s="3" t="s">
        <v>23</v>
      </c>
    </row>
    <row r="164" spans="2:5" x14ac:dyDescent="0.2">
      <c r="D164" s="6"/>
      <c r="E164" s="6"/>
    </row>
    <row r="165" spans="2:5" x14ac:dyDescent="0.2">
      <c r="B165" s="1" t="s">
        <v>22</v>
      </c>
      <c r="C165" s="1" t="s">
        <v>0</v>
      </c>
      <c r="D165" s="1" t="s">
        <v>9</v>
      </c>
      <c r="E165" s="1" t="s">
        <v>10</v>
      </c>
    </row>
    <row r="166" spans="2:5" x14ac:dyDescent="0.2">
      <c r="B166">
        <v>1</v>
      </c>
      <c r="C166">
        <f t="shared" ref="C166:C189" si="20">VLOOKUP(B166,$B$51:$C$74,2,FALSE)</f>
        <v>2</v>
      </c>
      <c r="D166" s="4">
        <f>SUM(D138:E138)</f>
        <v>0.27841623103850993</v>
      </c>
      <c r="E166" s="4">
        <f>SUM(F138:G138)</f>
        <v>0.7215837689614899</v>
      </c>
    </row>
    <row r="167" spans="2:5" x14ac:dyDescent="0.2">
      <c r="B167">
        <f>B166+1</f>
        <v>2</v>
      </c>
      <c r="C167">
        <f t="shared" si="20"/>
        <v>1</v>
      </c>
      <c r="D167" s="4">
        <f>SUM(D139:E139)</f>
        <v>0.73754712485416618</v>
      </c>
      <c r="E167" s="4">
        <f>SUM(F139:G139)</f>
        <v>0.26245287514583371</v>
      </c>
    </row>
    <row r="168" spans="2:5" x14ac:dyDescent="0.2">
      <c r="B168">
        <f t="shared" ref="B168:B189" si="21">B167+1</f>
        <v>3</v>
      </c>
      <c r="C168">
        <f t="shared" si="20"/>
        <v>0</v>
      </c>
      <c r="D168" s="4">
        <f t="shared" ref="D168:D188" si="22">SUM(D140:E140)</f>
        <v>0.79739354568274712</v>
      </c>
      <c r="E168" s="4">
        <f t="shared" ref="E168:E184" si="23">SUM(F140:G140)</f>
        <v>0.20260645431725277</v>
      </c>
    </row>
    <row r="169" spans="2:5" x14ac:dyDescent="0.2">
      <c r="B169">
        <f t="shared" si="21"/>
        <v>4</v>
      </c>
      <c r="C169">
        <f t="shared" si="20"/>
        <v>1</v>
      </c>
      <c r="D169" s="4">
        <f t="shared" si="22"/>
        <v>0.75868375818787159</v>
      </c>
      <c r="E169" s="4">
        <f t="shared" si="23"/>
        <v>0.24131624181212813</v>
      </c>
    </row>
    <row r="170" spans="2:5" x14ac:dyDescent="0.2">
      <c r="B170">
        <f t="shared" si="21"/>
        <v>5</v>
      </c>
      <c r="C170">
        <f t="shared" si="20"/>
        <v>2</v>
      </c>
      <c r="D170" s="4">
        <f t="shared" si="22"/>
        <v>0.42690108020779133</v>
      </c>
      <c r="E170" s="4">
        <f t="shared" si="23"/>
        <v>0.57309891979220851</v>
      </c>
    </row>
    <row r="171" spans="2:5" x14ac:dyDescent="0.2">
      <c r="B171">
        <f t="shared" si="21"/>
        <v>6</v>
      </c>
      <c r="C171">
        <f t="shared" si="20"/>
        <v>0</v>
      </c>
      <c r="D171" s="4">
        <f t="shared" si="22"/>
        <v>0.76063883232626017</v>
      </c>
      <c r="E171" s="4">
        <f t="shared" si="23"/>
        <v>0.23936116767373977</v>
      </c>
    </row>
    <row r="172" spans="2:5" x14ac:dyDescent="0.2">
      <c r="B172">
        <f t="shared" si="21"/>
        <v>7</v>
      </c>
      <c r="C172">
        <f t="shared" si="20"/>
        <v>1</v>
      </c>
      <c r="D172" s="4">
        <f t="shared" si="22"/>
        <v>0.80912843386339217</v>
      </c>
      <c r="E172" s="4">
        <f t="shared" si="23"/>
        <v>0.19087156613660777</v>
      </c>
    </row>
    <row r="173" spans="2:5" x14ac:dyDescent="0.2">
      <c r="B173">
        <f t="shared" si="21"/>
        <v>8</v>
      </c>
      <c r="C173">
        <f t="shared" si="20"/>
        <v>1</v>
      </c>
      <c r="D173" s="4">
        <f t="shared" si="22"/>
        <v>0.81603013254327561</v>
      </c>
      <c r="E173" s="4">
        <f t="shared" si="23"/>
        <v>0.18396986745672431</v>
      </c>
    </row>
    <row r="174" spans="2:5" x14ac:dyDescent="0.2">
      <c r="B174">
        <f t="shared" si="21"/>
        <v>9</v>
      </c>
      <c r="C174">
        <f t="shared" si="20"/>
        <v>0</v>
      </c>
      <c r="D174" s="4">
        <f t="shared" si="22"/>
        <v>0.81602496423232473</v>
      </c>
      <c r="E174" s="4">
        <f t="shared" si="23"/>
        <v>0.1839750357676751</v>
      </c>
    </row>
    <row r="175" spans="2:5" x14ac:dyDescent="0.2">
      <c r="B175">
        <f t="shared" si="21"/>
        <v>10</v>
      </c>
      <c r="C175">
        <f t="shared" si="20"/>
        <v>1</v>
      </c>
      <c r="D175" s="4">
        <f t="shared" si="22"/>
        <v>0.80908695816801224</v>
      </c>
      <c r="E175" s="4">
        <f t="shared" si="23"/>
        <v>0.1909130418319876</v>
      </c>
    </row>
    <row r="176" spans="2:5" x14ac:dyDescent="0.2">
      <c r="B176">
        <f t="shared" si="21"/>
        <v>11</v>
      </c>
      <c r="C176">
        <f t="shared" si="20"/>
        <v>1</v>
      </c>
      <c r="D176" s="4">
        <f t="shared" si="22"/>
        <v>0.76035263387716767</v>
      </c>
      <c r="E176" s="4">
        <f t="shared" si="23"/>
        <v>0.23964736612283211</v>
      </c>
    </row>
    <row r="177" spans="2:5" x14ac:dyDescent="0.2">
      <c r="B177">
        <f t="shared" si="21"/>
        <v>12</v>
      </c>
      <c r="C177">
        <f t="shared" si="20"/>
        <v>2</v>
      </c>
      <c r="D177" s="4">
        <f t="shared" si="22"/>
        <v>0.42493201179829682</v>
      </c>
      <c r="E177" s="4">
        <f t="shared" si="23"/>
        <v>0.57506798820170291</v>
      </c>
    </row>
    <row r="178" spans="2:5" x14ac:dyDescent="0.2">
      <c r="B178">
        <f t="shared" si="21"/>
        <v>13</v>
      </c>
      <c r="C178">
        <f t="shared" si="20"/>
        <v>0</v>
      </c>
      <c r="D178" s="4">
        <f t="shared" si="22"/>
        <v>0.74860691836223214</v>
      </c>
      <c r="E178" s="4">
        <f t="shared" si="23"/>
        <v>0.25139308163776763</v>
      </c>
    </row>
    <row r="179" spans="2:5" x14ac:dyDescent="0.2">
      <c r="B179">
        <f t="shared" si="21"/>
        <v>14</v>
      </c>
      <c r="C179">
        <f t="shared" si="20"/>
        <v>0</v>
      </c>
      <c r="D179" s="4">
        <f t="shared" si="22"/>
        <v>0.7385859702704114</v>
      </c>
      <c r="E179" s="4">
        <f t="shared" si="23"/>
        <v>0.26141402972958855</v>
      </c>
    </row>
    <row r="180" spans="2:5" x14ac:dyDescent="0.2">
      <c r="B180">
        <f t="shared" si="21"/>
        <v>15</v>
      </c>
      <c r="C180">
        <f t="shared" si="20"/>
        <v>2</v>
      </c>
      <c r="D180" s="4">
        <f t="shared" si="22"/>
        <v>0.34451390336143406</v>
      </c>
      <c r="E180" s="4">
        <f t="shared" si="23"/>
        <v>0.65548609663856594</v>
      </c>
    </row>
    <row r="181" spans="2:5" x14ac:dyDescent="0.2">
      <c r="B181">
        <f t="shared" si="21"/>
        <v>16</v>
      </c>
      <c r="C181">
        <f t="shared" si="20"/>
        <v>2</v>
      </c>
      <c r="D181" s="4">
        <f t="shared" si="22"/>
        <v>0.34596972870021964</v>
      </c>
      <c r="E181" s="4">
        <f t="shared" si="23"/>
        <v>0.65403027129978031</v>
      </c>
    </row>
    <row r="182" spans="2:5" x14ac:dyDescent="0.2">
      <c r="B182">
        <f t="shared" si="21"/>
        <v>17</v>
      </c>
      <c r="C182">
        <f t="shared" si="20"/>
        <v>1</v>
      </c>
      <c r="D182" s="4">
        <f t="shared" si="22"/>
        <v>0.74887380266449621</v>
      </c>
      <c r="E182" s="4">
        <f t="shared" si="23"/>
        <v>0.25112619733550362</v>
      </c>
    </row>
    <row r="183" spans="2:5" x14ac:dyDescent="0.2">
      <c r="B183">
        <f t="shared" si="21"/>
        <v>18</v>
      </c>
      <c r="C183">
        <f t="shared" si="20"/>
        <v>1</v>
      </c>
      <c r="D183" s="4">
        <f t="shared" si="22"/>
        <v>0.8074125565469118</v>
      </c>
      <c r="E183" s="4">
        <f t="shared" si="23"/>
        <v>0.19258744345308812</v>
      </c>
    </row>
    <row r="184" spans="2:5" x14ac:dyDescent="0.2">
      <c r="B184">
        <f t="shared" si="21"/>
        <v>19</v>
      </c>
      <c r="C184">
        <f t="shared" si="20"/>
        <v>1</v>
      </c>
      <c r="D184" s="4">
        <f t="shared" si="22"/>
        <v>0.81574322860660453</v>
      </c>
      <c r="E184" s="4">
        <f t="shared" si="23"/>
        <v>0.18425677139339552</v>
      </c>
    </row>
    <row r="185" spans="2:5" x14ac:dyDescent="0.2">
      <c r="B185">
        <f t="shared" si="21"/>
        <v>20</v>
      </c>
      <c r="C185">
        <f t="shared" si="20"/>
        <v>1</v>
      </c>
      <c r="D185" s="4">
        <f t="shared" si="22"/>
        <v>0.81572744594352931</v>
      </c>
      <c r="E185" s="4">
        <f t="shared" ref="E185:E188" si="24">SUM(F157:G157)</f>
        <v>0.18427255405647069</v>
      </c>
    </row>
    <row r="186" spans="2:5" x14ac:dyDescent="0.2">
      <c r="B186">
        <f t="shared" si="21"/>
        <v>21</v>
      </c>
      <c r="C186">
        <f t="shared" si="20"/>
        <v>1</v>
      </c>
      <c r="D186" s="4">
        <f t="shared" si="22"/>
        <v>0.80728590067573358</v>
      </c>
      <c r="E186" s="4">
        <f t="shared" si="24"/>
        <v>0.19271409932426631</v>
      </c>
    </row>
    <row r="187" spans="2:5" x14ac:dyDescent="0.2">
      <c r="B187">
        <f t="shared" si="21"/>
        <v>22</v>
      </c>
      <c r="C187">
        <f t="shared" si="20"/>
        <v>1</v>
      </c>
      <c r="D187" s="4">
        <f t="shared" si="22"/>
        <v>0.74799982783254459</v>
      </c>
      <c r="E187" s="4">
        <f t="shared" si="24"/>
        <v>0.25200017216745546</v>
      </c>
    </row>
    <row r="188" spans="2:5" x14ac:dyDescent="0.2">
      <c r="B188">
        <f t="shared" si="21"/>
        <v>23</v>
      </c>
      <c r="C188">
        <f t="shared" si="20"/>
        <v>2</v>
      </c>
      <c r="D188" s="4">
        <f t="shared" si="22"/>
        <v>0.33995671137693623</v>
      </c>
      <c r="E188" s="4">
        <f t="shared" si="24"/>
        <v>0.66004328862306383</v>
      </c>
    </row>
    <row r="189" spans="2:5" x14ac:dyDescent="0.2">
      <c r="B189">
        <f t="shared" si="21"/>
        <v>24</v>
      </c>
      <c r="C189">
        <f t="shared" si="20"/>
        <v>2</v>
      </c>
      <c r="D189" s="4">
        <f>D102/D104</f>
        <v>0.31374188338317549</v>
      </c>
      <c r="E189" s="4">
        <f>E102/D104</f>
        <v>0.68625811661682456</v>
      </c>
    </row>
    <row r="190" spans="2:5" x14ac:dyDescent="0.2">
      <c r="D190" s="4"/>
      <c r="E190" s="4"/>
    </row>
  </sheetData>
  <mergeCells count="1">
    <mergeCell ref="D136:G136"/>
  </mergeCells>
  <dataValidations count="1">
    <dataValidation type="list" allowBlank="1" showInputMessage="1" showErrorMessage="1" sqref="C51:C74">
      <formula1>"0,1,2"</formula1>
    </dataValidation>
  </dataValidations>
  <pageMargins left="0.7" right="0.7" top="0.75" bottom="0.75" header="0.3" footer="0.3"/>
  <pageSetup orientation="portrait" horizontalDpi="4294967293" r:id="rId1"/>
  <ignoredErrors>
    <ignoredError sqref="J44 J4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MM_Step">
                <anchor moveWithCells="1" sizeWithCells="1">
                  <from>
                    <xdr:col>7</xdr:col>
                    <xdr:colOff>609600</xdr:colOff>
                    <xdr:row>50</xdr:row>
                    <xdr:rowOff>0</xdr:rowOff>
                  </from>
                  <to>
                    <xdr:col>9</xdr:col>
                    <xdr:colOff>381000</xdr:colOff>
                    <xdr:row>54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Instructions</vt:lpstr>
      <vt:lpstr>HMM Example</vt:lpstr>
      <vt:lpstr>Copy</vt:lpstr>
      <vt:lpstr>Iteration</vt:lpstr>
      <vt:lpstr>Paste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2013-09-18T04:46:18Z</dcterms:created>
  <dcterms:modified xsi:type="dcterms:W3CDTF">2014-01-28T07:29:35Z</dcterms:modified>
</cp:coreProperties>
</file>